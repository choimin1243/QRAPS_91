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ardware\04. X-CUBE i9\06. 큐랩스\3. BOM\"/>
    </mc:Choice>
  </mc:AlternateContent>
  <bookViews>
    <workbookView xWindow="0" yWindow="0" windowWidth="23550" windowHeight="11490"/>
  </bookViews>
  <sheets>
    <sheet name="X-CUBE i9 HV PSU SMT BOARD ASSY" sheetId="4" r:id="rId1"/>
    <sheet name="Sheet1" sheetId="3" r:id="rId2"/>
    <sheet name="SCH_DUO_HV PSU_P0_210119" sheetId="1" r:id="rId3"/>
    <sheet name="샘플" sheetId="2" r:id="rId4"/>
  </sheets>
  <definedNames>
    <definedName name="_xlnm._FilterDatabase" localSheetId="2" hidden="1">'SCH_DUO_HV PSU_P0_210119'!$A$6:$G$6</definedName>
  </definedNames>
  <calcPr calcId="162913"/>
</workbook>
</file>

<file path=xl/calcChain.xml><?xml version="1.0" encoding="utf-8"?>
<calcChain xmlns="http://schemas.openxmlformats.org/spreadsheetml/2006/main">
  <c r="F4" i="2" l="1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" i="2"/>
  <c r="H3" i="2" s="1"/>
</calcChain>
</file>

<file path=xl/comments1.xml><?xml version="1.0" encoding="utf-8"?>
<comments xmlns="http://schemas.openxmlformats.org/spreadsheetml/2006/main">
  <authors>
    <author>DongHwan KIM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 xml:space="preserve">DongHwan KIM:
</t>
        </r>
        <r>
          <rPr>
            <sz val="9"/>
            <color indexed="81"/>
            <rFont val="Tahoma"/>
            <family val="2"/>
          </rPr>
          <t>Express to be easily understandable.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DongHwan KIM:</t>
        </r>
        <r>
          <rPr>
            <sz val="9"/>
            <color indexed="81"/>
            <rFont val="Tahoma"/>
            <family val="2"/>
          </rPr>
          <t xml:space="preserve">
Use unit such as pc, set, m,  g, cm, etc.
(not EA)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DongHwan KIM:</t>
        </r>
        <r>
          <rPr>
            <sz val="9"/>
            <color indexed="81"/>
            <rFont val="Tahoma"/>
            <family val="2"/>
          </rPr>
          <t xml:space="preserve">
Check change object at this time. 
(If change object is deleted, record it to revision history table as below)</t>
        </r>
      </text>
    </comment>
    <comment ref="H132" authorId="0" shapeId="0">
      <text>
        <r>
          <rPr>
            <b/>
            <sz val="9"/>
            <color indexed="81"/>
            <rFont val="Tahoma"/>
            <family val="2"/>
          </rPr>
          <t>DongHwan KIM:</t>
        </r>
        <r>
          <rPr>
            <sz val="9"/>
            <color indexed="81"/>
            <rFont val="Tahoma"/>
            <family val="2"/>
          </rPr>
          <t xml:space="preserve">
ECO (Engineering Change Order) No.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양산품</t>
        </r>
        <r>
          <rPr>
            <sz val="9"/>
            <color indexed="81"/>
            <rFont val="Tahoma"/>
            <family val="2"/>
          </rPr>
          <t xml:space="preserve"> BOM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변경이 있을 경우, 기술변경지시서에 대해 관련자들의 검토/승인을 받으신 후 반드시 그 번호를 기록하셔야 합니다.</t>
        </r>
      </text>
    </comment>
  </commentList>
</comments>
</file>

<file path=xl/sharedStrings.xml><?xml version="1.0" encoding="utf-8"?>
<sst xmlns="http://schemas.openxmlformats.org/spreadsheetml/2006/main" count="1181" uniqueCount="463">
  <si>
    <t>C17,C21</t>
  </si>
  <si>
    <t>C49,C78</t>
  </si>
  <si>
    <t>D1,D2</t>
  </si>
  <si>
    <t>MURS120</t>
  </si>
  <si>
    <t>D4,D8</t>
  </si>
  <si>
    <t>1PS302-115</t>
  </si>
  <si>
    <t>D5,D9</t>
  </si>
  <si>
    <t>DFLS1100-7</t>
  </si>
  <si>
    <t>D11,D12</t>
  </si>
  <si>
    <t>J1</t>
  </si>
  <si>
    <t>L16,L17</t>
  </si>
  <si>
    <t>O1</t>
  </si>
  <si>
    <t>Q1,Q4</t>
  </si>
  <si>
    <t>CSD19532Q5B</t>
  </si>
  <si>
    <t>Q2,Q5</t>
  </si>
  <si>
    <t>DNBT8105-7</t>
  </si>
  <si>
    <t>Q3,Q6</t>
  </si>
  <si>
    <t>Q7</t>
  </si>
  <si>
    <t>BSC093N04LSG</t>
  </si>
  <si>
    <t>FQD7P20TM</t>
  </si>
  <si>
    <t>Q9</t>
  </si>
  <si>
    <t>FDD120AN15AQ</t>
  </si>
  <si>
    <t>Q12</t>
  </si>
  <si>
    <t>R2,R3,R4</t>
  </si>
  <si>
    <t>R7</t>
  </si>
  <si>
    <t>R10</t>
  </si>
  <si>
    <t>R11</t>
  </si>
  <si>
    <t>R12</t>
  </si>
  <si>
    <t>R13,R14</t>
  </si>
  <si>
    <t>R16</t>
  </si>
  <si>
    <t>R29</t>
  </si>
  <si>
    <t>R33</t>
  </si>
  <si>
    <t>R35</t>
  </si>
  <si>
    <t>R38</t>
  </si>
  <si>
    <t>R40,R71</t>
  </si>
  <si>
    <t>R50,R79</t>
  </si>
  <si>
    <t>R61,R90</t>
  </si>
  <si>
    <t>R97</t>
  </si>
  <si>
    <t>R108</t>
  </si>
  <si>
    <t>R109</t>
  </si>
  <si>
    <t>R110</t>
  </si>
  <si>
    <t>T1,T2</t>
  </si>
  <si>
    <t>U1</t>
  </si>
  <si>
    <t>U2</t>
  </si>
  <si>
    <t>U3</t>
  </si>
  <si>
    <t>U4</t>
  </si>
  <si>
    <t>U6,U8</t>
  </si>
  <si>
    <t>U9</t>
  </si>
  <si>
    <t>U10</t>
  </si>
  <si>
    <t>C, 1uF, 1608, 50V, 20%, X7R</t>
  </si>
  <si>
    <t>CC0603KRX5R9BB105/1608/50V/20%/X7R</t>
  </si>
  <si>
    <t>Part Number</t>
    <phoneticPr fontId="18" type="noConversion"/>
  </si>
  <si>
    <t>품명(Part description)</t>
    <phoneticPr fontId="18" type="noConversion"/>
  </si>
  <si>
    <t>규격(Specification)</t>
    <phoneticPr fontId="18" type="noConversion"/>
  </si>
  <si>
    <t>Quantity</t>
    <phoneticPr fontId="18" type="noConversion"/>
  </si>
  <si>
    <t>1005/50V/10%/X7R</t>
  </si>
  <si>
    <t>0402B102K500CT, Capacitor, 1NF, 1005, 50V, 10%, X7R</t>
    <phoneticPr fontId="18" type="noConversion"/>
  </si>
  <si>
    <t>1005/50V/20%/X7R</t>
  </si>
  <si>
    <t>C, 10uF, 3225, 50V, 20%, X7R</t>
  </si>
  <si>
    <t>3225/50V/20%/X7R</t>
  </si>
  <si>
    <t>C, 2.2uF, 5750, 250V, 20%, X7T</t>
  </si>
  <si>
    <t>C5750X7T2E225K250KE/5750/250V/20%/X7R</t>
  </si>
  <si>
    <t>UMK325B7475MM-T/3225/50V/20%/X7R</t>
  </si>
  <si>
    <t>C, 4.7uF, 3225, 100V, 20%, X7S</t>
  </si>
  <si>
    <t>HMK325C7475MM-PE/3225/100V/20%/X7S</t>
  </si>
  <si>
    <t>C, 100NF, 2012, 100V, 10%, X7R</t>
  </si>
  <si>
    <t>C2012X7R2A104K, Capacitor, 100NF, 2012, 100V, 10%, X7R</t>
  </si>
  <si>
    <t>C, 2.2NF, 1005, 50V, 10%, X7R</t>
  </si>
  <si>
    <t>C, 100pF, 1005, 50V, 20%, X7R</t>
  </si>
  <si>
    <t>C, 680PF, 1005, 50V, 10%, X7R</t>
  </si>
  <si>
    <t>0402B681K500CT, Capacitor, 680PF, 1005, 50V, 10%, X7R</t>
  </si>
  <si>
    <t>C, 47NF, 1005, 25V, 10%, X7R</t>
  </si>
  <si>
    <t>0402B473K250CT, Capacitor, 47NF, 1005, 25V, 10%, X7R</t>
  </si>
  <si>
    <t>C, 22nF, 1005, 50V, 10%, X7R</t>
  </si>
  <si>
    <t>C, 10uF, 1608, 25V, 20%, X7R</t>
  </si>
  <si>
    <t>1608/25V/20%/X7R</t>
  </si>
  <si>
    <t xml:space="preserve">B340AE-13 </t>
    <phoneticPr fontId="18" type="noConversion"/>
  </si>
  <si>
    <t>LPS6235-104</t>
  </si>
  <si>
    <t>100uH, LPS6235-104</t>
    <phoneticPr fontId="18" type="noConversion"/>
  </si>
  <si>
    <t>4.7uH/XFL4030-472ME</t>
    <phoneticPr fontId="18" type="noConversion"/>
  </si>
  <si>
    <t>XFL4030-472ME, Coilcraft</t>
    <phoneticPr fontId="18" type="noConversion"/>
  </si>
  <si>
    <t>3.3uH/VLS252010HBX-3R3M-1</t>
  </si>
  <si>
    <t>3.3uH/VLS252010HBX-3R3M-1</t>
    <phoneticPr fontId="18" type="noConversion"/>
  </si>
  <si>
    <t>CSD19532Q5B, PWR MOSFET</t>
  </si>
  <si>
    <t>2N7002K</t>
    <phoneticPr fontId="18" type="noConversion"/>
  </si>
  <si>
    <t>FQD7P20TM, traNsistor, D-PAK</t>
  </si>
  <si>
    <t>FDD120AN15AQ, traNsistor, D-PAK</t>
  </si>
  <si>
    <t>TP2520N8-G</t>
  </si>
  <si>
    <t>TP2520N8-G, traNsistor, TO-243AA</t>
    <phoneticPr fontId="24" type="noConversion"/>
  </si>
  <si>
    <t>TN2524N8</t>
    <phoneticPr fontId="18" type="noConversion"/>
  </si>
  <si>
    <t>TN2524N8-G, Transistor, TO-243AA</t>
    <phoneticPr fontId="18" type="noConversion"/>
  </si>
  <si>
    <t>CRCW0402470KFKEDC, Resistor, 470k, 1005,1%</t>
    <phoneticPr fontId="18" type="noConversion"/>
  </si>
  <si>
    <t>R, 470k, 1005, 1%</t>
    <phoneticPr fontId="24" type="noConversion"/>
  </si>
  <si>
    <t>R, 1M, 1608, ±1%</t>
    <phoneticPr fontId="24" type="noConversion"/>
  </si>
  <si>
    <t>CR16-1004FV, Resistor, 1M, 1608, ±1%</t>
    <phoneticPr fontId="18" type="noConversion"/>
  </si>
  <si>
    <t>R, 47K, 1005, 1%</t>
  </si>
  <si>
    <t>WR04X4702FTL, Resistor, 47K, 1005, 1%</t>
  </si>
  <si>
    <t>R, 270k, 1005, 1%</t>
    <phoneticPr fontId="18" type="noConversion"/>
  </si>
  <si>
    <t>R, 27k, 1005, 1%</t>
    <phoneticPr fontId="18" type="noConversion"/>
  </si>
  <si>
    <t>R, 33K, 1005, 1%</t>
  </si>
  <si>
    <t>WR04X3302FTL, Resistor, 33K, 1005, 1%</t>
  </si>
  <si>
    <t>CR10-5602FV, Resistor, 56K, 1005, ±1%</t>
  </si>
  <si>
    <t>R, 120K, 1005, 1%</t>
  </si>
  <si>
    <t>WR04X1203FTL, Resistor, 120K, 1005, 1%</t>
  </si>
  <si>
    <t>R, 2K, 1005, 1%</t>
  </si>
  <si>
    <t>WR04X2001FTL, Resistor, 2K, 1005, 1%</t>
  </si>
  <si>
    <t>R, 0, 1005, 10%</t>
    <phoneticPr fontId="24" type="noConversion"/>
  </si>
  <si>
    <t>WR04X000PTL, Resistor, 0, 1005, 10%</t>
  </si>
  <si>
    <t>R, 100K, 1005, 1%</t>
  </si>
  <si>
    <t>WR04X1003FTL, Resistor, 100K, 1005, 1%</t>
  </si>
  <si>
    <t>R, 1K, 1005, 1%</t>
  </si>
  <si>
    <t>WR04X1001FTL, Resistor, 1K, 1005, 1%</t>
  </si>
  <si>
    <t>WF08P1004FTL, Resistor, 1M, 2012, 1%</t>
    <phoneticPr fontId="18" type="noConversion"/>
  </si>
  <si>
    <t>R, 91k, 1005, 1%</t>
    <phoneticPr fontId="18" type="noConversion"/>
  </si>
  <si>
    <t>WR04X9102FTL, Resistor, 91k, 1005, 1%</t>
    <phoneticPr fontId="18" type="noConversion"/>
  </si>
  <si>
    <t>R, 1M, 2012, 1%</t>
    <phoneticPr fontId="18" type="noConversion"/>
  </si>
  <si>
    <t>CR10-6202FV, Resistor, 62K, 1005, ±1%</t>
  </si>
  <si>
    <t>R, 16K, 1005, 1%</t>
  </si>
  <si>
    <t>WR04X1602FTL, Resistor, 16K, 1005, 1%</t>
  </si>
  <si>
    <t>R, 200, 1005, 1%</t>
    <phoneticPr fontId="24" type="noConversion"/>
  </si>
  <si>
    <t>WR04X2000FTL, Resistor, 200, 1005, 1%</t>
  </si>
  <si>
    <t>R, 5.1K, 1005, 1%</t>
  </si>
  <si>
    <t>WR04X5101FTL, Resistor, 5.1K, 1005, 1%</t>
  </si>
  <si>
    <t>R, 430k, 1005, 1%</t>
    <phoneticPr fontId="18" type="noConversion"/>
  </si>
  <si>
    <t>WR04X4303FTL, Resistor, 430K, 1005, 1%</t>
    <phoneticPr fontId="18" type="noConversion"/>
  </si>
  <si>
    <t>R, 1M, 1005, 1%</t>
    <phoneticPr fontId="18" type="noConversion"/>
  </si>
  <si>
    <t>WR04X1004FTL, Resistor, 1M, 1005, 1%</t>
    <phoneticPr fontId="18" type="noConversion"/>
  </si>
  <si>
    <t>R, 2.7K, 1005, 5%</t>
    <phoneticPr fontId="18" type="noConversion"/>
  </si>
  <si>
    <t>WR04X272JTL, Resistor, 2.7K, 1005, 5%</t>
    <phoneticPr fontId="18" type="noConversion"/>
  </si>
  <si>
    <t>CR10-3903FV, Resistor, 390K, 1005, ±1%</t>
    <phoneticPr fontId="18" type="noConversion"/>
  </si>
  <si>
    <t>R, 68K, 1005, ±1%</t>
    <phoneticPr fontId="18" type="noConversion"/>
  </si>
  <si>
    <t>CR10-6802FV, Resistor, 68K, 1005, ±1%</t>
    <phoneticPr fontId="18" type="noConversion"/>
  </si>
  <si>
    <t>HV TRNSFMR_EC-i7,NS-S103</t>
    <phoneticPr fontId="18" type="noConversion"/>
  </si>
  <si>
    <t>TPS7A4901DGNT, MSOP-PowerPAD, TI</t>
    <phoneticPr fontId="18" type="noConversion"/>
  </si>
  <si>
    <t>AT24C02D-SSHM-T, EEPROM, SOIC</t>
    <phoneticPr fontId="18" type="noConversion"/>
  </si>
  <si>
    <t>LM3481MMX</t>
    <phoneticPr fontId="18" type="noConversion"/>
  </si>
  <si>
    <t>LM3481MMX, VSSOP, TI</t>
    <phoneticPr fontId="18" type="noConversion"/>
  </si>
  <si>
    <t>OPA189ID</t>
    <phoneticPr fontId="18" type="noConversion"/>
  </si>
  <si>
    <t xml:space="preserve">DAC 12B,Dual,Lo Pwr Ultra-Lo Glitch DAC </t>
    <phoneticPr fontId="18" type="noConversion"/>
  </si>
  <si>
    <t>R, 200K, 1005, 1%</t>
    <phoneticPr fontId="18" type="noConversion"/>
  </si>
  <si>
    <t>WR04X2003FTL, Resistor, 200K, 1005, 1%</t>
    <phoneticPr fontId="18" type="noConversion"/>
  </si>
  <si>
    <t>R, 300, 1005, 1%</t>
    <phoneticPr fontId="18" type="noConversion"/>
  </si>
  <si>
    <t>WR04X3000FTL, Resistor, 300, 1005, 1%</t>
    <phoneticPr fontId="18" type="noConversion"/>
  </si>
  <si>
    <t>R, 4.7K, 1005, 1%</t>
    <phoneticPr fontId="18" type="noConversion"/>
  </si>
  <si>
    <t>WR04X4701FTL, Resistor, 4.7K, 1005, 1%</t>
    <phoneticPr fontId="18" type="noConversion"/>
  </si>
  <si>
    <t>R, 0.015, 6432, 1%</t>
    <phoneticPr fontId="18" type="noConversion"/>
  </si>
  <si>
    <t>WW25NR015FTL, Resistor, 0.015, 6432, 1%</t>
    <phoneticPr fontId="18" type="noConversion"/>
  </si>
  <si>
    <t>R, 10K, 1005, 1%</t>
    <phoneticPr fontId="18" type="noConversion"/>
  </si>
  <si>
    <t>1005/1%/WR04X1002FTL</t>
    <phoneticPr fontId="18" type="noConversion"/>
  </si>
  <si>
    <t>R, 180k, 1005, 1%</t>
    <phoneticPr fontId="18" type="noConversion"/>
  </si>
  <si>
    <t>1005/1%</t>
    <phoneticPr fontId="18" type="noConversion"/>
  </si>
  <si>
    <t>R, 11k, 1005, 1%</t>
    <phoneticPr fontId="18" type="noConversion"/>
  </si>
  <si>
    <t>R, 9.1k, 1005, 1%</t>
    <phoneticPr fontId="18" type="noConversion"/>
  </si>
  <si>
    <t>0.068/3216/1W</t>
    <phoneticPr fontId="18" type="noConversion"/>
  </si>
  <si>
    <t>R, 20K, 1005, 1%</t>
    <phoneticPr fontId="18" type="noConversion"/>
  </si>
  <si>
    <t>WR04X2002FTL, Resistor, 20K, 1005, 1%</t>
    <phoneticPr fontId="18" type="noConversion"/>
  </si>
  <si>
    <t>R, 1.8k, 1005, 1%</t>
    <phoneticPr fontId="18" type="noConversion"/>
  </si>
  <si>
    <t>R, 10K, 1608, 1%</t>
    <phoneticPr fontId="18" type="noConversion"/>
  </si>
  <si>
    <t>WR06X1002FTL, Resistor, 10K, 1608, 0.1W, 1%</t>
    <phoneticPr fontId="18" type="noConversion"/>
  </si>
  <si>
    <t>HV TRNSFMR</t>
    <phoneticPr fontId="18" type="noConversion"/>
  </si>
  <si>
    <t>ADC128D818</t>
    <phoneticPr fontId="18" type="noConversion"/>
  </si>
  <si>
    <t>ADC128D818CIMT/NOPB, 8ch ADC</t>
    <phoneticPr fontId="18" type="noConversion"/>
  </si>
  <si>
    <t>TPS7A4901DGNT</t>
    <phoneticPr fontId="18" type="noConversion"/>
  </si>
  <si>
    <t>AT24C02D-SSHM-T</t>
    <phoneticPr fontId="18" type="noConversion"/>
  </si>
  <si>
    <t>LT8331EMSE, 16Lead Plastic MSOP with 4Pins Removed, Linear</t>
    <phoneticPr fontId="18" type="noConversion"/>
  </si>
  <si>
    <t>DAC7562SDG</t>
    <phoneticPr fontId="18" type="noConversion"/>
  </si>
  <si>
    <t>Reference</t>
    <phoneticPr fontId="18" type="noConversion"/>
  </si>
  <si>
    <t>C, 100nF, 1005, 50V, 10%, X5R</t>
    <phoneticPr fontId="18" type="noConversion"/>
  </si>
  <si>
    <t>C, 1nF, 1005, 50V, 10%, X7R</t>
    <phoneticPr fontId="18" type="noConversion"/>
  </si>
  <si>
    <t>R, 39, 1005, 1%</t>
    <phoneticPr fontId="18" type="noConversion"/>
  </si>
  <si>
    <t>R, 56K, 1005, ±1%, CR10-5602FV</t>
    <phoneticPr fontId="18" type="noConversion"/>
  </si>
  <si>
    <t>R, 62K, 1005, ±1%, CR10-6202FV</t>
    <phoneticPr fontId="18" type="noConversion"/>
  </si>
  <si>
    <t>R, 390K, 1005, ±1%, CR10-3903FV</t>
    <phoneticPr fontId="18" type="noConversion"/>
  </si>
  <si>
    <t>MAX5401</t>
    <phoneticPr fontId="18" type="noConversion"/>
  </si>
  <si>
    <t>MAX15005AAUE+</t>
    <phoneticPr fontId="18" type="noConversion"/>
  </si>
  <si>
    <t>MAX5401EKA+</t>
    <phoneticPr fontId="18" type="noConversion"/>
  </si>
  <si>
    <t>C4,C5,C6,C7,C8,C9,C10</t>
    <phoneticPr fontId="18" type="noConversion"/>
  </si>
  <si>
    <t>C, 4.7uF, 3225, 50V, 20%, X7R</t>
    <phoneticPr fontId="18" type="noConversion"/>
  </si>
  <si>
    <t>C51,C80</t>
    <phoneticPr fontId="18" type="noConversion"/>
  </si>
  <si>
    <t>Q8</t>
    <phoneticPr fontId="18" type="noConversion"/>
  </si>
  <si>
    <t>C, 4.7uF, 1608, 16V, 10%, X5R</t>
    <phoneticPr fontId="18" type="noConversion"/>
  </si>
  <si>
    <t>GRM188R61C475KAAJD, Capacitor, 4.7uF, 1608, 16V, 10%, X5R</t>
    <phoneticPr fontId="18" type="noConversion"/>
  </si>
  <si>
    <t>중복</t>
    <phoneticPr fontId="18" type="noConversion"/>
  </si>
  <si>
    <t>C1,C26,C52,C56,C82,C85,C90,C98,C109,C149</t>
    <phoneticPr fontId="18" type="noConversion"/>
  </si>
  <si>
    <t>C12,C14,C24,C88,C95,C97,C103,C120,C123,C124,C127,C128,C159</t>
    <phoneticPr fontId="18" type="noConversion"/>
  </si>
  <si>
    <t>C28,C29,C40,C50,C58,C59,C69,C112,C113,C158</t>
    <phoneticPr fontId="18" type="noConversion"/>
  </si>
  <si>
    <t>C30,C41,C42,C62,C63,C70,C71,C110,C111,C114,C115,C116,C117,C154</t>
    <phoneticPr fontId="18" type="noConversion"/>
  </si>
  <si>
    <t>C31,C32,C43,C46,C57,C60,C72,C156</t>
    <phoneticPr fontId="18" type="noConversion"/>
  </si>
  <si>
    <t>C39,C68,C91,C92,C99,C100,C101,C102,C121,C122,C125,C126,C161,C162,C163,C164,C165,C166</t>
    <phoneticPr fontId="18" type="noConversion"/>
  </si>
  <si>
    <t>C61,C153</t>
    <phoneticPr fontId="18" type="noConversion"/>
  </si>
  <si>
    <t>C104,C105,C106,C131</t>
    <phoneticPr fontId="18" type="noConversion"/>
  </si>
  <si>
    <t>C107</t>
    <phoneticPr fontId="18" type="noConversion"/>
  </si>
  <si>
    <t>C108</t>
    <phoneticPr fontId="18" type="noConversion"/>
  </si>
  <si>
    <t>C132</t>
    <phoneticPr fontId="18" type="noConversion"/>
  </si>
  <si>
    <t>C133</t>
    <phoneticPr fontId="18" type="noConversion"/>
  </si>
  <si>
    <t>C140</t>
    <phoneticPr fontId="18" type="noConversion"/>
  </si>
  <si>
    <t>C142</t>
    <phoneticPr fontId="18" type="noConversion"/>
  </si>
  <si>
    <t>C144</t>
    <phoneticPr fontId="18" type="noConversion"/>
  </si>
  <si>
    <t>C145,C146,C147</t>
    <phoneticPr fontId="18" type="noConversion"/>
  </si>
  <si>
    <t>V3P22</t>
    <phoneticPr fontId="18" type="noConversion"/>
  </si>
  <si>
    <t>D3,D6,D7,D10</t>
    <phoneticPr fontId="18" type="noConversion"/>
  </si>
  <si>
    <t>D13,D15,D16,D18</t>
    <phoneticPr fontId="18" type="noConversion"/>
  </si>
  <si>
    <t>D19</t>
    <phoneticPr fontId="18" type="noConversion"/>
  </si>
  <si>
    <t>L1,L5</t>
    <phoneticPr fontId="18" type="noConversion"/>
  </si>
  <si>
    <t>330uH, 7447783331</t>
    <phoneticPr fontId="18" type="noConversion"/>
  </si>
  <si>
    <t>L2,L4,L14</t>
    <phoneticPr fontId="18" type="noConversion"/>
  </si>
  <si>
    <t>330uH, LPS6235-334</t>
    <phoneticPr fontId="18" type="noConversion"/>
  </si>
  <si>
    <t>L3</t>
    <phoneticPr fontId="18" type="noConversion"/>
  </si>
  <si>
    <t>L6,L7,L8,L9,L10,L11,L12,L13</t>
    <phoneticPr fontId="18" type="noConversion"/>
  </si>
  <si>
    <t>100uH, 7447783101</t>
    <phoneticPr fontId="18" type="noConversion"/>
  </si>
  <si>
    <t>L15,L18</t>
    <phoneticPr fontId="18" type="noConversion"/>
  </si>
  <si>
    <t>4.7uH, IHLP5050CEER4R7</t>
    <phoneticPr fontId="18" type="noConversion"/>
  </si>
  <si>
    <t>L19</t>
    <phoneticPr fontId="18" type="noConversion"/>
  </si>
  <si>
    <t>Q10,Q13</t>
    <phoneticPr fontId="18" type="noConversion"/>
  </si>
  <si>
    <t>Q11</t>
    <phoneticPr fontId="18" type="noConversion"/>
  </si>
  <si>
    <t>Q14</t>
    <phoneticPr fontId="18" type="noConversion"/>
  </si>
  <si>
    <t>CSD18503Q5A</t>
    <phoneticPr fontId="18" type="noConversion"/>
  </si>
  <si>
    <t>R1,R5,R6,R15</t>
    <phoneticPr fontId="18" type="noConversion"/>
  </si>
  <si>
    <t>R9,R63,R64,R66,R92,R94,R95,R121,R126</t>
    <phoneticPr fontId="18" type="noConversion"/>
  </si>
  <si>
    <t>R20,R21,R23,R31,R36,R37,R55,R59,R60,R65,R84,R88,R89,R93,R98,R99,R100,R102,R106,R138,R141,R143,R145,R146,R147,R148,R149,R150,R151</t>
    <phoneticPr fontId="18" type="noConversion"/>
  </si>
  <si>
    <t>R24,R111,R116,R118</t>
    <phoneticPr fontId="18" type="noConversion"/>
  </si>
  <si>
    <t>R25,R27,R28,R107,R122,R144</t>
    <phoneticPr fontId="18" type="noConversion"/>
  </si>
  <si>
    <t>R26,R56,R58,R67,R85,R87,R96,R113,R124</t>
    <phoneticPr fontId="18" type="noConversion"/>
  </si>
  <si>
    <t>R32</t>
    <phoneticPr fontId="18" type="noConversion"/>
  </si>
  <si>
    <t>R34</t>
    <phoneticPr fontId="18" type="noConversion"/>
  </si>
  <si>
    <t>R39,R70</t>
    <phoneticPr fontId="18" type="noConversion"/>
  </si>
  <si>
    <t>R41,R72</t>
    <phoneticPr fontId="18" type="noConversion"/>
  </si>
  <si>
    <t>R42,R73,R105</t>
    <phoneticPr fontId="18" type="noConversion"/>
  </si>
  <si>
    <t>R43,R45,R48,R49,R68,R69,R77,R78</t>
    <phoneticPr fontId="18" type="noConversion"/>
  </si>
  <si>
    <t>R, 47k, 2012, 1%</t>
    <phoneticPr fontId="18" type="noConversion"/>
  </si>
  <si>
    <t>R44,R74</t>
    <phoneticPr fontId="18" type="noConversion"/>
  </si>
  <si>
    <t>R46,R75</t>
    <phoneticPr fontId="18" type="noConversion"/>
  </si>
  <si>
    <t>R47,R76</t>
    <phoneticPr fontId="18" type="noConversion"/>
  </si>
  <si>
    <t>R51,R80,R127</t>
    <phoneticPr fontId="18" type="noConversion"/>
  </si>
  <si>
    <t>R52,R62,R81,R91</t>
    <phoneticPr fontId="18" type="noConversion"/>
  </si>
  <si>
    <t>R53,R82,R123</t>
    <phoneticPr fontId="18" type="noConversion"/>
  </si>
  <si>
    <t>R54,R83</t>
    <phoneticPr fontId="18" type="noConversion"/>
  </si>
  <si>
    <t>R, 4.7K, 2012, 1%</t>
    <phoneticPr fontId="18" type="noConversion"/>
  </si>
  <si>
    <t>R117,R120</t>
    <phoneticPr fontId="18" type="noConversion"/>
  </si>
  <si>
    <t>R119,R125</t>
    <phoneticPr fontId="18" type="noConversion"/>
  </si>
  <si>
    <t>R130</t>
  </si>
  <si>
    <t>R131</t>
  </si>
  <si>
    <t>R132</t>
  </si>
  <si>
    <t>R133</t>
  </si>
  <si>
    <t>R134</t>
  </si>
  <si>
    <t>R135</t>
  </si>
  <si>
    <t>R136</t>
  </si>
  <si>
    <t>R137</t>
  </si>
  <si>
    <t>R139</t>
  </si>
  <si>
    <t>R140</t>
  </si>
  <si>
    <t>R142</t>
  </si>
  <si>
    <t>R152,R153,R154</t>
  </si>
  <si>
    <t>3mR/5025/WSL20103L000FEA</t>
  </si>
  <si>
    <t>R, 15k, 1005, 1%</t>
    <phoneticPr fontId="18" type="noConversion"/>
  </si>
  <si>
    <t>R, 0.01, 6432, 1W</t>
    <phoneticPr fontId="18" type="noConversion"/>
  </si>
  <si>
    <t>LT8331EMSE</t>
    <phoneticPr fontId="18" type="noConversion"/>
  </si>
  <si>
    <t>INA186A1</t>
  </si>
  <si>
    <t>TLV9001/SOT-23</t>
  </si>
  <si>
    <t>U11</t>
    <phoneticPr fontId="18" type="noConversion"/>
  </si>
  <si>
    <t>U12</t>
    <phoneticPr fontId="18" type="noConversion"/>
  </si>
  <si>
    <t>U13</t>
    <phoneticPr fontId="18" type="noConversion"/>
  </si>
  <si>
    <t>U14</t>
    <phoneticPr fontId="18" type="noConversion"/>
  </si>
  <si>
    <t>U15</t>
    <phoneticPr fontId="18" type="noConversion"/>
  </si>
  <si>
    <t>U16</t>
    <phoneticPr fontId="18" type="noConversion"/>
  </si>
  <si>
    <t>INA186A1</t>
    <phoneticPr fontId="18" type="noConversion"/>
  </si>
  <si>
    <t>TLV9001/SOT-23</t>
    <phoneticPr fontId="18" type="noConversion"/>
  </si>
  <si>
    <t>R, 43.2K, 1005, 1%</t>
    <phoneticPr fontId="18" type="noConversion"/>
  </si>
  <si>
    <t>WR04X4322FTL, Resistor, 43.2K, 1005, 1%</t>
    <phoneticPr fontId="18" type="noConversion"/>
  </si>
  <si>
    <t>R, 47K, 1005, 1%</t>
    <phoneticPr fontId="18" type="noConversion"/>
  </si>
  <si>
    <t>WR04X4702FTL, Resistor, 47K, 1005, 1%</t>
    <phoneticPr fontId="18" type="noConversion"/>
  </si>
  <si>
    <t>R, 41.2k, 1005, 1%</t>
    <phoneticPr fontId="18" type="noConversion"/>
  </si>
  <si>
    <t>CR10-1502FV, Resistor, 15K, 1005, ±1%</t>
    <phoneticPr fontId="18" type="noConversion"/>
  </si>
  <si>
    <t>WSL20103L000FEA, Resistor, 3m, 5025, Sense</t>
    <phoneticPr fontId="18" type="noConversion"/>
  </si>
  <si>
    <t>R, 30k, 1005, 1%</t>
    <phoneticPr fontId="18" type="noConversion"/>
  </si>
  <si>
    <t>WR04X3002FTL, Resistor, 30K, 1005, 1%</t>
    <phoneticPr fontId="18" type="noConversion"/>
  </si>
  <si>
    <t>R, 18k, 1005, 1%</t>
    <phoneticPr fontId="18" type="noConversion"/>
  </si>
  <si>
    <t>WR04X1802FTL, Resistor, 18K, 1005, 1%</t>
    <phoneticPr fontId="18" type="noConversion"/>
  </si>
  <si>
    <t>R, 5.6k, 1005, ±1%</t>
    <phoneticPr fontId="18" type="noConversion"/>
  </si>
  <si>
    <t>CR10-5601FV, Resistor, 5.6K, 1005, ±1%</t>
    <phoneticPr fontId="18" type="noConversion"/>
  </si>
  <si>
    <t>C, 6.8nF, 1005, 16V</t>
    <phoneticPr fontId="18" type="noConversion"/>
  </si>
  <si>
    <t>C, 4.7NF, 1005, 50V, 10%</t>
    <phoneticPr fontId="18" type="noConversion"/>
  </si>
  <si>
    <t>C, 4.7nF, 1005, 50V, 10%</t>
    <phoneticPr fontId="18" type="noConversion"/>
  </si>
  <si>
    <t>LPS6235-334</t>
    <phoneticPr fontId="18" type="noConversion"/>
  </si>
  <si>
    <t>V3P22HM3, Diode, Vrrm = 200V, If = 3A</t>
    <phoneticPr fontId="18" type="noConversion"/>
  </si>
  <si>
    <t>Inductor, WE, 100uH, Saturation Current : 1A</t>
    <phoneticPr fontId="18" type="noConversion"/>
  </si>
  <si>
    <t>Inductor, WE, 330uH, Saturation Current : 0.56A</t>
    <phoneticPr fontId="18" type="noConversion"/>
  </si>
  <si>
    <t>Inductor, VISHAY, 4.7uH, Saturation Current : 24A</t>
    <phoneticPr fontId="18" type="noConversion"/>
  </si>
  <si>
    <t>C, 22uF, 160V, 20%</t>
    <phoneticPr fontId="18" type="noConversion"/>
  </si>
  <si>
    <t>C18,C19,C22,C23</t>
    <phoneticPr fontId="18" type="noConversion"/>
  </si>
  <si>
    <t>C5750X7S2A226M280KB</t>
    <phoneticPr fontId="18" type="noConversion"/>
  </si>
  <si>
    <t>C, 22uF, 5750, 100V, 20%</t>
    <phoneticPr fontId="18" type="noConversion"/>
  </si>
  <si>
    <t>C37,C38,C44,C45,C47,C48,C64,C65,C66,C67,C73,C74,C75,C76,C77,C79,C87,C89,C93,C94,C151,C152,C155,C157</t>
    <phoneticPr fontId="18" type="noConversion"/>
  </si>
  <si>
    <t>C, 22uF, 3225, 50V, 20%</t>
    <phoneticPr fontId="18" type="noConversion"/>
  </si>
  <si>
    <t>Capacitor, 22uF, 3225, 50V, 20%</t>
    <phoneticPr fontId="18" type="noConversion"/>
  </si>
  <si>
    <t>S1711-46R, RFI Shield Clip, SMD</t>
    <phoneticPr fontId="18" type="noConversion"/>
  </si>
  <si>
    <t>IC, CSD18503Q5A, FET, TI</t>
    <phoneticPr fontId="18" type="noConversion"/>
  </si>
  <si>
    <t>R, 22k, 1005, 0.1%</t>
    <phoneticPr fontId="18" type="noConversion"/>
  </si>
  <si>
    <t>MAX15005AAUE+</t>
    <phoneticPr fontId="18" type="noConversion"/>
  </si>
  <si>
    <t>REF5030AID</t>
    <phoneticPr fontId="18" type="noConversion"/>
  </si>
  <si>
    <t>nichicon/ULV2C220MNL1GS</t>
    <phoneticPr fontId="18" type="noConversion"/>
  </si>
  <si>
    <t>ERF8-025-07.0-L-DV-EGPS-TR</t>
    <phoneticPr fontId="18" type="noConversion"/>
  </si>
  <si>
    <t>S1711-46R</t>
    <phoneticPr fontId="18" type="noConversion"/>
  </si>
  <si>
    <t>SBRD10200</t>
    <phoneticPr fontId="18" type="noConversion"/>
  </si>
  <si>
    <r>
      <t>Resistor, 22K, 1005</t>
    </r>
    <r>
      <rPr>
        <sz val="9"/>
        <rFont val="맑은 고딕"/>
        <family val="3"/>
        <charset val="129"/>
        <scheme val="minor"/>
      </rPr>
      <t>, 1%</t>
    </r>
    <phoneticPr fontId="18" type="noConversion"/>
  </si>
  <si>
    <t>DD Package 10-Lead Plastic DFN(3mm x 3mm)</t>
    <phoneticPr fontId="18" type="noConversion"/>
  </si>
  <si>
    <t>C, 10nF, 1005, 50V, 10%,  X7R</t>
    <phoneticPr fontId="18" type="noConversion"/>
  </si>
  <si>
    <t>0402B103K500CT, Capacitor, 10NF, 1005, 50V, 10%,  X7R</t>
    <phoneticPr fontId="18" type="noConversion"/>
  </si>
  <si>
    <t>C11,C16,C130,C138</t>
    <phoneticPr fontId="18" type="noConversion"/>
  </si>
  <si>
    <t>C2,C13,C27,C53,C54,C81,C83,C86,C96,C119,C129,C135,C136,C137,C141,C143,C160</t>
    <phoneticPr fontId="18" type="noConversion"/>
  </si>
  <si>
    <t xml:space="preserve">0402X104K500CT , capacitor , 100NF , 1005 , 50V , 10% , X5R </t>
    <phoneticPr fontId="18" type="noConversion"/>
  </si>
  <si>
    <t>R, 22, 1005, 1%</t>
    <phoneticPr fontId="18" type="noConversion"/>
  </si>
  <si>
    <t>WR04X22R0FTL, Resistor, 22, 1005, 1%</t>
    <phoneticPr fontId="18" type="noConversion"/>
  </si>
  <si>
    <t>C, 1uF, 3216, 100V, 10%</t>
    <phoneticPr fontId="18" type="noConversion"/>
  </si>
  <si>
    <t>C, 4.7uF, 1005, 10V, 10%, X5R</t>
    <phoneticPr fontId="18" type="noConversion"/>
  </si>
  <si>
    <t xml:space="preserve">C1005X5R1A475K050BC , Capacitor, 4.7UF, 1005, 10V, 10%, X5R </t>
    <phoneticPr fontId="18" type="noConversion"/>
  </si>
  <si>
    <t>ER3D</t>
    <phoneticPr fontId="18" type="noConversion"/>
  </si>
  <si>
    <t>Diode, ER3D, 정류기</t>
    <phoneticPr fontId="18" type="noConversion"/>
  </si>
  <si>
    <t>C, 4.7uF, 2012, 25V, 20%</t>
    <phoneticPr fontId="18" type="noConversion"/>
  </si>
  <si>
    <t>2012/25V/20%/X7R</t>
    <phoneticPr fontId="18" type="noConversion"/>
  </si>
  <si>
    <t>MMBT2907AL</t>
    <phoneticPr fontId="24" type="noConversion"/>
  </si>
  <si>
    <t>MMBT2907AL</t>
    <phoneticPr fontId="18" type="noConversion"/>
  </si>
  <si>
    <t>R, 10, 1005, 1%</t>
    <phoneticPr fontId="18" type="noConversion"/>
  </si>
  <si>
    <t>WR04X10R0FTL, Resistor, 10, 1005, 1%</t>
    <phoneticPr fontId="18" type="noConversion"/>
  </si>
  <si>
    <t>R, 1.2K, 1005, 1%</t>
    <phoneticPr fontId="18" type="noConversion"/>
  </si>
  <si>
    <t>WR04X1201FTL, Resistor, 1.2K, 1005, 1%</t>
    <phoneticPr fontId="18" type="noConversion"/>
  </si>
  <si>
    <t>R, 0, 2012, 5%</t>
    <phoneticPr fontId="18" type="noConversion"/>
  </si>
  <si>
    <t>WR08X000PTL, Resistor, 0, 2012, 5%</t>
    <phoneticPr fontId="18" type="noConversion"/>
  </si>
  <si>
    <t xml:space="preserve">      </t>
    <phoneticPr fontId="18" type="noConversion"/>
  </si>
  <si>
    <t>R128</t>
    <phoneticPr fontId="18" type="noConversion"/>
  </si>
  <si>
    <t>R, 12K, 1005, 1%</t>
    <phoneticPr fontId="18" type="noConversion"/>
  </si>
  <si>
    <t>WR04X1202FTL, Resistor, 12K, 1005, 1%</t>
    <phoneticPr fontId="18" type="noConversion"/>
  </si>
  <si>
    <t>R57,R86,R129</t>
    <phoneticPr fontId="18" type="noConversion"/>
  </si>
  <si>
    <t>LT3757EDD#PBF</t>
    <phoneticPr fontId="18" type="noConversion"/>
  </si>
  <si>
    <t>CL05A475MO</t>
    <phoneticPr fontId="18" type="noConversion"/>
  </si>
  <si>
    <t>CC0402KRX7R7BB682</t>
    <phoneticPr fontId="18" type="noConversion"/>
  </si>
  <si>
    <t>EL7202CSZ, IC, SO</t>
    <phoneticPr fontId="18" type="noConversion"/>
  </si>
  <si>
    <t>EL7202CSZ</t>
    <phoneticPr fontId="18" type="noConversion"/>
  </si>
  <si>
    <r>
      <t>Resistor, 22K, 1005</t>
    </r>
    <r>
      <rPr>
        <sz val="9"/>
        <rFont val="맑은 고딕"/>
        <family val="3"/>
        <charset val="129"/>
        <scheme val="major"/>
      </rPr>
      <t>, 1%</t>
    </r>
    <phoneticPr fontId="18" type="noConversion"/>
  </si>
  <si>
    <t>출고수량</t>
    <phoneticPr fontId="18" type="noConversion"/>
  </si>
  <si>
    <t>잔여수량</t>
    <phoneticPr fontId="18" type="noConversion"/>
  </si>
  <si>
    <t>G1,G3,G5,G7,G8,G10,G12,G14,G16,G18,G19,G22,G23,G24,G25,G26,G27,G28,G29,G30,G31,G32,G33,G34,G35,G36,G37,G38,G39,G40,G41,G42,G43,G44</t>
    <phoneticPr fontId="18" type="noConversion"/>
  </si>
  <si>
    <t>REF5040AID</t>
    <phoneticPr fontId="18" type="noConversion"/>
  </si>
  <si>
    <t>DUO_HV POWER Board PCB</t>
    <phoneticPr fontId="18" type="noConversion"/>
  </si>
  <si>
    <t>Rev.P0, PCB</t>
    <phoneticPr fontId="18" type="noConversion"/>
  </si>
  <si>
    <t>BILL OF MATERIAL</t>
  </si>
  <si>
    <t>작성</t>
  </si>
  <si>
    <t>검토</t>
  </si>
  <si>
    <t>승인</t>
  </si>
  <si>
    <t>Part Number</t>
  </si>
  <si>
    <t>Rev No.</t>
  </si>
  <si>
    <t>Part Description</t>
  </si>
  <si>
    <t>Date</t>
  </si>
  <si>
    <t>No</t>
  </si>
  <si>
    <t>품명(Part description)</t>
  </si>
  <si>
    <t>규격(Specification)</t>
  </si>
  <si>
    <t>Unit</t>
  </si>
  <si>
    <t>Quantity</t>
  </si>
  <si>
    <t>변경대상</t>
  </si>
  <si>
    <t>비고</t>
  </si>
  <si>
    <t>UMK325B7475MM-T/3225/50V/20%/X7R</t>
    <phoneticPr fontId="18" type="noConversion"/>
  </si>
  <si>
    <t>C, 680PF, 1005, 50V, 10%, X7R</t>
    <phoneticPr fontId="18" type="noConversion"/>
  </si>
  <si>
    <t>1PS302-115</t>
    <phoneticPr fontId="18" type="noConversion"/>
  </si>
  <si>
    <t>330uH, LPS6235-334</t>
    <phoneticPr fontId="18" type="noConversion"/>
  </si>
  <si>
    <t>FQD7P20TM</t>
    <phoneticPr fontId="18" type="noConversion"/>
  </si>
  <si>
    <t>FQD7P20TM, traNsistor, D-PAK</t>
    <phoneticPr fontId="18" type="noConversion"/>
  </si>
  <si>
    <t>R, 47K, 1005, 1%</t>
    <phoneticPr fontId="18" type="noConversion"/>
  </si>
  <si>
    <t>R, 12K, 1005, 1%</t>
    <phoneticPr fontId="18" type="noConversion"/>
  </si>
  <si>
    <t>1005/1%</t>
    <phoneticPr fontId="18" type="noConversion"/>
  </si>
  <si>
    <t>R, 22, 1005, 1%</t>
    <phoneticPr fontId="18" type="noConversion"/>
  </si>
  <si>
    <t>MAX5401</t>
    <phoneticPr fontId="18" type="noConversion"/>
  </si>
  <si>
    <t>R,EPA2F5101X,1005,1%,1/5W</t>
    <phoneticPr fontId="18" type="noConversion"/>
  </si>
  <si>
    <t>R9,R63,R64,R66,R92,R94,R95,R121,R126,R131</t>
    <phoneticPr fontId="18" type="noConversion"/>
  </si>
  <si>
    <t>C, 1UF, 2012, 50V, 5%, X7R</t>
  </si>
  <si>
    <t>0805B105J500CT, Capacitor, 1UF, 2012, 50V, 5%, X7R</t>
  </si>
  <si>
    <t>김진성</t>
    <phoneticPr fontId="18" type="noConversion"/>
  </si>
  <si>
    <t>C167</t>
    <phoneticPr fontId="18" type="noConversion"/>
  </si>
  <si>
    <t>C, 22uF, 3216, 35V, 20%</t>
  </si>
  <si>
    <t>C3216X5R1V226MT000N, C, 22uF, 3216, 35V, 20%</t>
    <phoneticPr fontId="18" type="noConversion"/>
  </si>
  <si>
    <t>C, 100uF, 3225, 16V, 10%</t>
  </si>
  <si>
    <t>MP</t>
    <phoneticPr fontId="18" type="noConversion"/>
  </si>
  <si>
    <t>160SGV22M10x10.5 Rubycon</t>
    <phoneticPr fontId="18" type="noConversion"/>
  </si>
  <si>
    <t>160SGV22M10x10.5</t>
    <phoneticPr fontId="18" type="noConversion"/>
  </si>
  <si>
    <t>C91,C95,C101,C103,C164,C165,C169,C170</t>
    <phoneticPr fontId="18" type="noConversion"/>
  </si>
  <si>
    <t>C12,C14,C24,C88,C97,C120,C123,C124,C127,C128,C159</t>
    <phoneticPr fontId="18" type="noConversion"/>
  </si>
  <si>
    <t>C168,C173</t>
    <phoneticPr fontId="18" type="noConversion"/>
  </si>
  <si>
    <t>C37,C44,C47,C64,C66,C74,C76,C151</t>
    <phoneticPr fontId="18" type="noConversion"/>
  </si>
  <si>
    <t>C, 100uF, 100V, KMG</t>
  </si>
  <si>
    <t>C, 330uF, 63V, KMG</t>
    <phoneticPr fontId="18" type="noConversion"/>
  </si>
  <si>
    <t>C45,C152</t>
    <phoneticPr fontId="18" type="noConversion"/>
  </si>
  <si>
    <t>C67,C93</t>
    <phoneticPr fontId="18" type="noConversion"/>
  </si>
  <si>
    <t>C, 100uF, 100V, KMG</t>
    <phoneticPr fontId="18" type="noConversion"/>
  </si>
  <si>
    <t>C, 330uF, 63V, KMG</t>
    <phoneticPr fontId="18" type="noConversion"/>
  </si>
  <si>
    <t>R152,R153,R154</t>
    <phoneticPr fontId="18" type="noConversion"/>
  </si>
  <si>
    <t>U5,U7</t>
    <phoneticPr fontId="18" type="noConversion"/>
  </si>
  <si>
    <t>C39,C68,C92,C99,C100,C102,C121,C122,C125,C126,C161,C162,C163,C166</t>
    <phoneticPr fontId="18" type="noConversion"/>
  </si>
  <si>
    <t>R34,R132</t>
    <phoneticPr fontId="18" type="noConversion"/>
  </si>
  <si>
    <t>L1,L3,L5</t>
    <phoneticPr fontId="18" type="noConversion"/>
  </si>
  <si>
    <t>R, 2.1K, 1005, 1%</t>
  </si>
  <si>
    <t>R38</t>
    <phoneticPr fontId="18" type="noConversion"/>
  </si>
  <si>
    <t>R16</t>
    <phoneticPr fontId="18" type="noConversion"/>
  </si>
  <si>
    <t>WR04X2151FTL</t>
  </si>
  <si>
    <t>R, 5.6k, 1005, ±1%</t>
    <phoneticPr fontId="18" type="noConversion"/>
  </si>
  <si>
    <t>CR10-5601FV, Resistor, 5.6K, 1005, ±1%</t>
    <phoneticPr fontId="18" type="noConversion"/>
  </si>
  <si>
    <t>R, 0, 2012, 5%</t>
    <phoneticPr fontId="18" type="noConversion"/>
  </si>
  <si>
    <t>HV TRNSFMR_EC-i7,NS-S103</t>
    <phoneticPr fontId="18" type="noConversion"/>
  </si>
  <si>
    <t>HV TRNSFMR</t>
    <phoneticPr fontId="18" type="noConversion"/>
  </si>
  <si>
    <t>ADC128D818</t>
    <phoneticPr fontId="18" type="noConversion"/>
  </si>
  <si>
    <t>ADC128D818CIMT/NOPB, 8ch ADC</t>
    <phoneticPr fontId="18" type="noConversion"/>
  </si>
  <si>
    <t>TPS7A4901DGNT</t>
    <phoneticPr fontId="18" type="noConversion"/>
  </si>
  <si>
    <t>TPS7A4901DGNT, MSOP-PowerPAD, TI</t>
    <phoneticPr fontId="18" type="noConversion"/>
  </si>
  <si>
    <t>LT8331EMSE, 16Lead Plastic MSOP with 4Pins Removed, Linear</t>
    <phoneticPr fontId="18" type="noConversion"/>
  </si>
  <si>
    <t>C80</t>
    <phoneticPr fontId="18" type="noConversion"/>
  </si>
  <si>
    <t>C51</t>
    <phoneticPr fontId="18" type="noConversion"/>
  </si>
  <si>
    <t>이수성</t>
    <phoneticPr fontId="18" type="noConversion"/>
  </si>
  <si>
    <t>김광선</t>
    <phoneticPr fontId="18" type="noConversion"/>
  </si>
  <si>
    <t>C, 1UF, 1608, 10%, 25V, X5R</t>
    <phoneticPr fontId="18" type="noConversion"/>
  </si>
  <si>
    <t>CL10A105KA8NNNC, Capacitor, 1UF, 1608, 10%, 25V, X5R</t>
    <phoneticPr fontId="18" type="noConversion"/>
  </si>
  <si>
    <t>23.05.19</t>
    <phoneticPr fontId="18" type="noConversion"/>
  </si>
  <si>
    <t>PCB</t>
    <phoneticPr fontId="18" type="noConversion"/>
  </si>
  <si>
    <t>X-CUBE i9i8 HV POWER SMT BOARD ASSY</t>
    <phoneticPr fontId="18" type="noConversion"/>
  </si>
  <si>
    <t>적용 Option</t>
    <phoneticPr fontId="18" type="noConversion"/>
  </si>
  <si>
    <t>ECO No.</t>
    <phoneticPr fontId="18" type="noConversion"/>
  </si>
  <si>
    <t>재고소진후 적용</t>
    <phoneticPr fontId="18" type="noConversion"/>
  </si>
  <si>
    <t>기타</t>
    <phoneticPr fontId="18" type="noConversion"/>
  </si>
  <si>
    <t>Initial Release</t>
    <phoneticPr fontId="18" type="noConversion"/>
  </si>
  <si>
    <t>O</t>
    <phoneticPr fontId="18" type="noConversion"/>
  </si>
  <si>
    <t>BILL OF MATERIAL</t>
    <phoneticPr fontId="18" type="noConversion"/>
  </si>
  <si>
    <t>작성</t>
    <phoneticPr fontId="18" type="noConversion"/>
  </si>
  <si>
    <t>검토</t>
    <phoneticPr fontId="18" type="noConversion"/>
  </si>
  <si>
    <t>승인</t>
    <phoneticPr fontId="18" type="noConversion"/>
  </si>
  <si>
    <t>김진성</t>
    <phoneticPr fontId="18" type="noConversion"/>
  </si>
  <si>
    <t>Rev No.</t>
    <phoneticPr fontId="18" type="noConversion"/>
  </si>
  <si>
    <t>00</t>
    <phoneticPr fontId="18" type="noConversion"/>
  </si>
  <si>
    <t>Part Description</t>
    <phoneticPr fontId="18" type="noConversion"/>
  </si>
  <si>
    <t>No</t>
    <phoneticPr fontId="18" type="noConversion"/>
  </si>
  <si>
    <t>Part Number</t>
    <phoneticPr fontId="44" type="noConversion"/>
  </si>
  <si>
    <t>품명(Part description)</t>
    <phoneticPr fontId="44" type="noConversion"/>
  </si>
  <si>
    <t>Unit</t>
    <phoneticPr fontId="18" type="noConversion"/>
  </si>
  <si>
    <t>변경대상</t>
    <phoneticPr fontId="44" type="noConversion"/>
  </si>
  <si>
    <t>비고</t>
    <phoneticPr fontId="44" type="noConversion"/>
  </si>
  <si>
    <t>&lt;개정이력&gt;</t>
    <phoneticPr fontId="18" type="noConversion"/>
  </si>
  <si>
    <t>Rev.
no.</t>
    <phoneticPr fontId="18" type="noConversion"/>
  </si>
  <si>
    <t>Date</t>
    <phoneticPr fontId="18" type="noConversion"/>
  </si>
  <si>
    <t>변경 내용</t>
    <phoneticPr fontId="18" type="noConversion"/>
  </si>
  <si>
    <t>비  고</t>
    <phoneticPr fontId="18" type="noConversion"/>
  </si>
  <si>
    <t>즉시적용</t>
    <phoneticPr fontId="18" type="noConversion"/>
  </si>
  <si>
    <t>김광선</t>
    <phoneticPr fontId="18" type="noConversion"/>
  </si>
  <si>
    <t>이수성</t>
    <phoneticPr fontId="18" type="noConversion"/>
  </si>
  <si>
    <t>X-CUBE i9i8 HV PSU BOARD ASSY</t>
    <phoneticPr fontId="24" type="noConversion"/>
  </si>
  <si>
    <t>23.05.25</t>
    <phoneticPr fontId="18" type="noConversion"/>
  </si>
  <si>
    <t>CR2023-S041</t>
    <phoneticPr fontId="18" type="noConversion"/>
  </si>
  <si>
    <t>RFN2L6STE25</t>
  </si>
  <si>
    <t>O</t>
    <phoneticPr fontId="18" type="noConversion"/>
  </si>
  <si>
    <t>01</t>
    <phoneticPr fontId="18" type="noConversion"/>
  </si>
  <si>
    <t>23.11.30</t>
    <phoneticPr fontId="18" type="noConversion"/>
  </si>
  <si>
    <t>DIODE 변경</t>
    <phoneticPr fontId="18" type="noConversion"/>
  </si>
  <si>
    <t>O</t>
    <phoneticPr fontId="18" type="noConversion"/>
  </si>
  <si>
    <t>O</t>
    <phoneticPr fontId="18" type="noConversion"/>
  </si>
  <si>
    <t>4→6</t>
    <phoneticPr fontId="18" type="noConversion"/>
  </si>
  <si>
    <t>R24,R111,R116,R118,R162,R163</t>
    <phoneticPr fontId="18" type="noConversion"/>
  </si>
  <si>
    <t>O</t>
    <phoneticPr fontId="18" type="noConversion"/>
  </si>
  <si>
    <t>D3,D6,D7,D10 변경(P/N : 20008543 → 20006349)
추가 : R162,R163</t>
    <phoneticPr fontId="18" type="noConversion"/>
  </si>
  <si>
    <t>23.12.13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</si>
</sst>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_ 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8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5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129">
    <xf numFmtId="0" fontId="0" fillId="0" borderId="0" xfId="0">
      <alignment vertical="center"/>
    </xf>
    <xf numFmtId="0" fontId="19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/>
    </xf>
    <xf numFmtId="0" fontId="22" fillId="33" borderId="10" xfId="42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20" fillId="0" borderId="10" xfId="0" applyFont="1" applyFill="1" applyBorder="1">
      <alignment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4" borderId="0" xfId="0" applyFill="1">
      <alignment vertical="center"/>
    </xf>
    <xf numFmtId="0" fontId="20" fillId="34" borderId="10" xfId="0" applyFont="1" applyFill="1" applyBorder="1" applyAlignment="1">
      <alignment horizontal="left" vertical="center"/>
    </xf>
    <xf numFmtId="0" fontId="20" fillId="34" borderId="10" xfId="0" applyFont="1" applyFill="1" applyBorder="1" applyAlignment="1">
      <alignment horizontal="left" vertical="center" wrapText="1"/>
    </xf>
    <xf numFmtId="0" fontId="0" fillId="34" borderId="0" xfId="0" applyFill="1" applyAlignment="1">
      <alignment horizontal="center" vertical="center"/>
    </xf>
    <xf numFmtId="0" fontId="25" fillId="34" borderId="10" xfId="0" applyFont="1" applyFill="1" applyBorder="1" applyAlignment="1">
      <alignment horizontal="left" vertical="center"/>
    </xf>
    <xf numFmtId="0" fontId="25" fillId="34" borderId="10" xfId="0" applyFont="1" applyFill="1" applyBorder="1">
      <alignment vertical="center"/>
    </xf>
    <xf numFmtId="0" fontId="20" fillId="34" borderId="10" xfId="0" applyFont="1" applyFill="1" applyBorder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8" fillId="33" borderId="10" xfId="42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left" vertical="center"/>
    </xf>
    <xf numFmtId="41" fontId="29" fillId="0" borderId="10" xfId="46" applyFont="1" applyFill="1" applyBorder="1" applyAlignment="1">
      <alignment horizontal="center" vertical="center"/>
    </xf>
    <xf numFmtId="41" fontId="29" fillId="0" borderId="10" xfId="46" applyFont="1" applyFill="1" applyBorder="1">
      <alignment vertical="center"/>
    </xf>
    <xf numFmtId="0" fontId="29" fillId="0" borderId="0" xfId="0" applyFont="1" applyFill="1">
      <alignment vertical="center"/>
    </xf>
    <xf numFmtId="0" fontId="29" fillId="0" borderId="10" xfId="0" applyFont="1" applyFill="1" applyBorder="1">
      <alignment vertical="center"/>
    </xf>
    <xf numFmtId="0" fontId="30" fillId="0" borderId="10" xfId="0" applyFont="1" applyFill="1" applyBorder="1" applyAlignment="1">
      <alignment horizontal="center" vertical="center"/>
    </xf>
    <xf numFmtId="0" fontId="14" fillId="34" borderId="0" xfId="0" applyFont="1" applyFill="1">
      <alignment vertical="center"/>
    </xf>
    <xf numFmtId="0" fontId="32" fillId="33" borderId="10" xfId="0" applyFont="1" applyFill="1" applyBorder="1" applyAlignment="1">
      <alignment vertical="center"/>
    </xf>
    <xf numFmtId="0" fontId="32" fillId="33" borderId="10" xfId="0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/>
    </xf>
    <xf numFmtId="0" fontId="22" fillId="33" borderId="10" xfId="42" applyFont="1" applyFill="1" applyBorder="1" applyAlignment="1">
      <alignment vertical="center" wrapText="1"/>
    </xf>
    <xf numFmtId="0" fontId="0" fillId="0" borderId="10" xfId="0" applyBorder="1">
      <alignment vertical="center"/>
    </xf>
    <xf numFmtId="0" fontId="20" fillId="0" borderId="0" xfId="0" applyFont="1" applyFill="1" applyBorder="1" applyAlignment="1">
      <alignment horizontal="left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left"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>
      <alignment vertical="center"/>
    </xf>
    <xf numFmtId="0" fontId="20" fillId="35" borderId="0" xfId="0" applyFont="1" applyFill="1" applyBorder="1" applyAlignment="1">
      <alignment horizontal="left" vertical="center"/>
    </xf>
    <xf numFmtId="0" fontId="20" fillId="35" borderId="0" xfId="0" applyFont="1" applyFill="1" applyBorder="1" applyAlignment="1">
      <alignment horizontal="left" vertical="center" wrapText="1"/>
    </xf>
    <xf numFmtId="0" fontId="25" fillId="35" borderId="10" xfId="0" applyFont="1" applyFill="1" applyBorder="1" applyAlignment="1">
      <alignment horizontal="left" vertical="center"/>
    </xf>
    <xf numFmtId="0" fontId="25" fillId="35" borderId="0" xfId="0" applyFont="1" applyFill="1" applyBorder="1">
      <alignment vertical="center"/>
    </xf>
    <xf numFmtId="0" fontId="20" fillId="35" borderId="0" xfId="0" applyFont="1" applyFill="1" applyBorder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0" fontId="20" fillId="34" borderId="0" xfId="0" applyFont="1" applyFill="1" applyBorder="1" applyAlignment="1">
      <alignment horizontal="left" vertical="center"/>
    </xf>
    <xf numFmtId="0" fontId="35" fillId="35" borderId="10" xfId="0" applyFont="1" applyFill="1" applyBorder="1" applyAlignment="1">
      <alignment horizontal="center" vertical="center" wrapText="1"/>
    </xf>
    <xf numFmtId="0" fontId="36" fillId="35" borderId="10" xfId="0" applyFont="1" applyFill="1" applyBorder="1" applyAlignment="1">
      <alignment horizontal="left" vertical="center"/>
    </xf>
    <xf numFmtId="0" fontId="37" fillId="35" borderId="10" xfId="0" applyFont="1" applyFill="1" applyBorder="1" applyAlignment="1">
      <alignment horizontal="center" vertical="center"/>
    </xf>
    <xf numFmtId="0" fontId="37" fillId="35" borderId="10" xfId="0" applyFont="1" applyFill="1" applyBorder="1">
      <alignment vertical="center"/>
    </xf>
    <xf numFmtId="0" fontId="36" fillId="35" borderId="0" xfId="0" applyFont="1" applyFill="1" applyBorder="1" applyAlignment="1">
      <alignment horizontal="left" vertical="center"/>
    </xf>
    <xf numFmtId="0" fontId="34" fillId="0" borderId="10" xfId="0" quotePrefix="1" applyFont="1" applyFill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/>
    </xf>
    <xf numFmtId="0" fontId="32" fillId="0" borderId="0" xfId="0" applyFont="1" applyFill="1">
      <alignment vertical="center"/>
    </xf>
    <xf numFmtId="0" fontId="34" fillId="0" borderId="0" xfId="0" applyFont="1" applyFill="1">
      <alignment vertical="center"/>
    </xf>
    <xf numFmtId="0" fontId="32" fillId="33" borderId="10" xfId="0" applyFont="1" applyFill="1" applyBorder="1" applyAlignment="1">
      <alignment horizontal="center" vertical="center" wrapText="1"/>
    </xf>
    <xf numFmtId="14" fontId="38" fillId="0" borderId="10" xfId="0" applyNumberFormat="1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center" vertical="center"/>
    </xf>
    <xf numFmtId="0" fontId="34" fillId="0" borderId="10" xfId="0" applyFont="1" applyFill="1" applyBorder="1">
      <alignment vertical="center"/>
    </xf>
    <xf numFmtId="0" fontId="34" fillId="0" borderId="17" xfId="0" applyFont="1" applyFill="1" applyBorder="1" applyAlignment="1">
      <alignment horizontal="center" vertical="center"/>
    </xf>
    <xf numFmtId="0" fontId="38" fillId="0" borderId="15" xfId="0" quotePrefix="1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left" vertical="center"/>
    </xf>
    <xf numFmtId="0" fontId="39" fillId="0" borderId="10" xfId="0" applyFon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38" fillId="0" borderId="18" xfId="0" applyFont="1" applyFill="1" applyBorder="1" applyAlignment="1">
      <alignment horizontal="center" vertical="center"/>
    </xf>
    <xf numFmtId="0" fontId="38" fillId="0" borderId="19" xfId="0" applyFont="1" applyFill="1" applyBorder="1" applyAlignment="1">
      <alignment horizontal="center" vertical="center"/>
    </xf>
    <xf numFmtId="0" fontId="38" fillId="0" borderId="19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vertical="center" wrapText="1"/>
    </xf>
    <xf numFmtId="0" fontId="34" fillId="0" borderId="19" xfId="0" applyFont="1" applyFill="1" applyBorder="1" applyAlignment="1">
      <alignment horizontal="center" vertical="center"/>
    </xf>
    <xf numFmtId="0" fontId="0" fillId="0" borderId="19" xfId="0" applyFill="1" applyBorder="1">
      <alignment vertical="center"/>
    </xf>
    <xf numFmtId="0" fontId="0" fillId="0" borderId="19" xfId="0" applyFill="1" applyBorder="1" applyAlignment="1">
      <alignment horizontal="center" vertical="center"/>
    </xf>
    <xf numFmtId="0" fontId="38" fillId="0" borderId="20" xfId="0" applyFont="1" applyFill="1" applyBorder="1" applyAlignment="1">
      <alignment horizontal="center" vertical="center"/>
    </xf>
    <xf numFmtId="0" fontId="34" fillId="0" borderId="21" xfId="0" applyFont="1" applyFill="1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/>
    </xf>
    <xf numFmtId="0" fontId="34" fillId="0" borderId="23" xfId="0" applyFont="1" applyFill="1" applyBorder="1" applyAlignment="1">
      <alignment horizontal="center" vertical="center"/>
    </xf>
    <xf numFmtId="0" fontId="32" fillId="33" borderId="12" xfId="0" applyFont="1" applyFill="1" applyBorder="1" applyAlignment="1">
      <alignment horizontal="center" vertical="center"/>
    </xf>
    <xf numFmtId="0" fontId="32" fillId="33" borderId="14" xfId="0" applyFont="1" applyFill="1" applyBorder="1" applyAlignment="1">
      <alignment horizontal="center" vertical="center"/>
    </xf>
    <xf numFmtId="0" fontId="32" fillId="33" borderId="26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 wrapText="1"/>
    </xf>
    <xf numFmtId="0" fontId="33" fillId="0" borderId="23" xfId="0" applyFont="1" applyFill="1" applyBorder="1" applyAlignment="1">
      <alignment horizontal="center" vertical="center" wrapText="1"/>
    </xf>
    <xf numFmtId="0" fontId="34" fillId="0" borderId="30" xfId="0" applyFont="1" applyFill="1" applyBorder="1" applyAlignment="1">
      <alignment horizontal="center" vertical="center"/>
    </xf>
    <xf numFmtId="0" fontId="34" fillId="0" borderId="33" xfId="0" applyFont="1" applyFill="1" applyBorder="1" applyAlignment="1">
      <alignment horizontal="center" vertical="center"/>
    </xf>
    <xf numFmtId="0" fontId="32" fillId="33" borderId="19" xfId="0" applyFont="1" applyFill="1" applyBorder="1" applyAlignment="1">
      <alignment horizontal="center" vertical="center"/>
    </xf>
    <xf numFmtId="0" fontId="22" fillId="33" borderId="36" xfId="42" applyFont="1" applyFill="1" applyBorder="1" applyAlignment="1">
      <alignment horizontal="center" vertical="center" wrapText="1"/>
    </xf>
    <xf numFmtId="0" fontId="22" fillId="33" borderId="37" xfId="42" applyFont="1" applyFill="1" applyBorder="1" applyAlignment="1">
      <alignment horizontal="center" vertical="center" wrapText="1"/>
    </xf>
    <xf numFmtId="0" fontId="22" fillId="33" borderId="38" xfId="42" applyFont="1" applyFill="1" applyBorder="1" applyAlignment="1">
      <alignment horizontal="center" vertical="center" wrapText="1"/>
    </xf>
    <xf numFmtId="0" fontId="45" fillId="33" borderId="39" xfId="42" applyFont="1" applyFill="1" applyBorder="1" applyAlignment="1">
      <alignment horizontal="center" vertical="center" wrapText="1"/>
    </xf>
    <xf numFmtId="0" fontId="22" fillId="33" borderId="39" xfId="42" applyFont="1" applyFill="1" applyBorder="1" applyAlignment="1">
      <alignment horizontal="center" vertical="center" wrapText="1"/>
    </xf>
    <xf numFmtId="0" fontId="22" fillId="0" borderId="0" xfId="42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2" fontId="0" fillId="0" borderId="0" xfId="0" applyNumberFormat="1" applyFill="1" applyAlignment="1">
      <alignment horizontal="center" vertical="center"/>
    </xf>
    <xf numFmtId="42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37" fillId="0" borderId="0" xfId="0" applyFont="1" applyFill="1">
      <alignment vertical="center"/>
    </xf>
    <xf numFmtId="42" fontId="37" fillId="0" borderId="0" xfId="0" applyNumberFormat="1" applyFont="1" applyFill="1">
      <alignment vertical="center"/>
    </xf>
    <xf numFmtId="176" fontId="37" fillId="0" borderId="0" xfId="0" applyNumberFormat="1" applyFont="1" applyFill="1">
      <alignment vertical="center"/>
    </xf>
    <xf numFmtId="0" fontId="23" fillId="34" borderId="10" xfId="0" applyFont="1" applyFill="1" applyBorder="1" applyAlignment="1">
      <alignment horizontal="center" vertical="center"/>
    </xf>
    <xf numFmtId="0" fontId="35" fillId="34" borderId="10" xfId="0" applyFont="1" applyFill="1" applyBorder="1" applyAlignment="1">
      <alignment horizontal="center" vertical="center" wrapText="1"/>
    </xf>
    <xf numFmtId="0" fontId="36" fillId="34" borderId="10" xfId="0" applyFont="1" applyFill="1" applyBorder="1" applyAlignment="1">
      <alignment horizontal="left" vertical="center"/>
    </xf>
    <xf numFmtId="0" fontId="38" fillId="0" borderId="10" xfId="0" applyFont="1" applyFill="1" applyBorder="1" applyAlignment="1">
      <alignment horizontal="left" vertical="center" wrapText="1"/>
    </xf>
    <xf numFmtId="0" fontId="32" fillId="33" borderId="14" xfId="0" applyFont="1" applyFill="1" applyBorder="1" applyAlignment="1">
      <alignment horizontal="center" vertical="center"/>
    </xf>
    <xf numFmtId="0" fontId="32" fillId="33" borderId="17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22" fillId="33" borderId="11" xfId="42" applyFont="1" applyFill="1" applyBorder="1" applyAlignment="1">
      <alignment horizontal="center" vertical="center" wrapText="1"/>
    </xf>
    <xf numFmtId="0" fontId="32" fillId="33" borderId="12" xfId="0" applyFont="1" applyFill="1" applyBorder="1" applyAlignment="1">
      <alignment horizontal="center" vertical="center"/>
    </xf>
    <xf numFmtId="0" fontId="43" fillId="0" borderId="30" xfId="42" quotePrefix="1" applyFont="1" applyFill="1" applyBorder="1" applyAlignment="1">
      <alignment horizontal="center" vertical="center" wrapText="1"/>
    </xf>
    <xf numFmtId="0" fontId="43" fillId="0" borderId="31" xfId="42" applyFont="1" applyFill="1" applyBorder="1" applyAlignment="1">
      <alignment horizontal="center" vertical="center" wrapText="1"/>
    </xf>
    <xf numFmtId="0" fontId="43" fillId="0" borderId="32" xfId="42" applyFont="1" applyFill="1" applyBorder="1" applyAlignment="1">
      <alignment horizontal="center" vertical="center" wrapText="1"/>
    </xf>
    <xf numFmtId="0" fontId="22" fillId="33" borderId="18" xfId="42" applyFont="1" applyFill="1" applyBorder="1" applyAlignment="1">
      <alignment horizontal="center" vertical="center" wrapText="1"/>
    </xf>
    <xf numFmtId="0" fontId="32" fillId="33" borderId="19" xfId="0" applyFont="1" applyFill="1" applyBorder="1" applyAlignment="1">
      <alignment horizontal="center" vertical="center"/>
    </xf>
    <xf numFmtId="14" fontId="43" fillId="0" borderId="33" xfId="42" applyNumberFormat="1" applyFont="1" applyFill="1" applyBorder="1" applyAlignment="1">
      <alignment horizontal="center" vertical="center" wrapText="1"/>
    </xf>
    <xf numFmtId="14" fontId="43" fillId="0" borderId="34" xfId="42" applyNumberFormat="1" applyFont="1" applyFill="1" applyBorder="1" applyAlignment="1">
      <alignment horizontal="center" vertical="center" wrapText="1"/>
    </xf>
    <xf numFmtId="14" fontId="43" fillId="0" borderId="35" xfId="42" applyNumberFormat="1" applyFont="1" applyFill="1" applyBorder="1" applyAlignment="1">
      <alignment horizontal="center" vertical="center" wrapText="1"/>
    </xf>
    <xf numFmtId="0" fontId="32" fillId="33" borderId="11" xfId="0" applyFont="1" applyFill="1" applyBorder="1" applyAlignment="1">
      <alignment horizontal="center" vertical="center" wrapText="1"/>
    </xf>
    <xf numFmtId="0" fontId="32" fillId="33" borderId="15" xfId="0" applyFont="1" applyFill="1" applyBorder="1" applyAlignment="1">
      <alignment horizontal="center" vertical="center"/>
    </xf>
    <xf numFmtId="0" fontId="32" fillId="33" borderId="10" xfId="0" applyFont="1" applyFill="1" applyBorder="1" applyAlignment="1">
      <alignment horizontal="center" vertical="center"/>
    </xf>
    <xf numFmtId="0" fontId="32" fillId="33" borderId="13" xfId="0" applyFont="1" applyFill="1" applyBorder="1" applyAlignment="1">
      <alignment horizontal="center" vertical="center"/>
    </xf>
    <xf numFmtId="0" fontId="32" fillId="33" borderId="16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22" fillId="33" borderId="10" xfId="42" applyFont="1" applyFill="1" applyBorder="1" applyAlignment="1">
      <alignment horizontal="center" vertical="center" wrapText="1"/>
    </xf>
    <xf numFmtId="0" fontId="34" fillId="0" borderId="10" xfId="0" quotePrefix="1" applyFont="1" applyFill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/>
    </xf>
  </cellXfs>
  <cellStyles count="50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_ORCHID_BOM_Mech" xfId="42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6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1 2" xfId="48"/>
    <cellStyle name="표준 12" xfId="44"/>
    <cellStyle name="표준 13" xfId="47"/>
    <cellStyle name="표준 2" xfId="49"/>
    <cellStyle name="표준 26" xfId="45"/>
    <cellStyle name="표준 36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8"/>
  <sheetViews>
    <sheetView tabSelected="1" workbookViewId="0">
      <selection activeCell="E5" sqref="E5"/>
    </sheetView>
  </sheetViews>
  <sheetFormatPr defaultColWidth="9" defaultRowHeight="16.5" x14ac:dyDescent="0.3"/>
  <cols>
    <col min="1" max="1" width="4.25" style="9" customWidth="1"/>
    <col min="2" max="2" width="11.75" style="9" customWidth="1"/>
    <col min="3" max="3" width="38" style="9" bestFit="1" customWidth="1"/>
    <col min="4" max="4" width="44.25" style="9" customWidth="1"/>
    <col min="5" max="5" width="7.75" style="9" bestFit="1" customWidth="1"/>
    <col min="6" max="6" width="10" style="9" customWidth="1"/>
    <col min="7" max="7" width="10.875" style="9" customWidth="1"/>
    <col min="8" max="8" width="11" style="9" customWidth="1"/>
    <col min="9" max="9" width="14.125" style="9" customWidth="1"/>
    <col min="10" max="11" width="10.75" style="9" customWidth="1"/>
    <col min="12" max="13" width="12.375" style="9" customWidth="1"/>
    <col min="14" max="14" width="51.625" style="9" customWidth="1"/>
    <col min="15" max="16384" width="9" style="9"/>
  </cols>
  <sheetData>
    <row r="1" spans="1:14" ht="18" customHeight="1" x14ac:dyDescent="0.3">
      <c r="A1" s="106" t="s">
        <v>426</v>
      </c>
      <c r="B1" s="107"/>
      <c r="C1" s="107"/>
      <c r="D1" s="107"/>
      <c r="E1" s="107"/>
      <c r="F1" s="81" t="s">
        <v>427</v>
      </c>
      <c r="G1" s="80" t="s">
        <v>428</v>
      </c>
      <c r="H1" s="80" t="s">
        <v>429</v>
      </c>
    </row>
    <row r="2" spans="1:14" ht="30.95" customHeight="1" thickBot="1" x14ac:dyDescent="0.35">
      <c r="A2" s="108"/>
      <c r="B2" s="109"/>
      <c r="C2" s="109"/>
      <c r="D2" s="109"/>
      <c r="E2" s="109"/>
      <c r="F2" s="82" t="s">
        <v>430</v>
      </c>
      <c r="G2" s="83" t="s">
        <v>446</v>
      </c>
      <c r="H2" s="83" t="s">
        <v>447</v>
      </c>
    </row>
    <row r="3" spans="1:14" ht="17.25" customHeight="1" x14ac:dyDescent="0.3">
      <c r="A3" s="110" t="s">
        <v>51</v>
      </c>
      <c r="B3" s="111"/>
      <c r="C3" s="84">
        <v>20008824</v>
      </c>
      <c r="D3" s="79" t="s">
        <v>431</v>
      </c>
      <c r="E3" s="112">
        <v>1</v>
      </c>
      <c r="F3" s="113"/>
      <c r="G3" s="113"/>
      <c r="H3" s="114"/>
    </row>
    <row r="4" spans="1:14" ht="17.25" customHeight="1" thickBot="1" x14ac:dyDescent="0.35">
      <c r="A4" s="115" t="s">
        <v>433</v>
      </c>
      <c r="B4" s="116"/>
      <c r="C4" s="85" t="s">
        <v>448</v>
      </c>
      <c r="D4" s="86" t="s">
        <v>351</v>
      </c>
      <c r="E4" s="117" t="s">
        <v>462</v>
      </c>
      <c r="F4" s="118"/>
      <c r="G4" s="118"/>
      <c r="H4" s="119"/>
    </row>
    <row r="5" spans="1:14" ht="21.75" customHeight="1" thickBot="1" x14ac:dyDescent="0.35">
      <c r="A5" s="87" t="s">
        <v>434</v>
      </c>
      <c r="B5" s="88" t="s">
        <v>435</v>
      </c>
      <c r="C5" s="89" t="s">
        <v>436</v>
      </c>
      <c r="D5" s="88" t="s">
        <v>53</v>
      </c>
      <c r="E5" s="88" t="s">
        <v>437</v>
      </c>
      <c r="F5" s="88" t="s">
        <v>54</v>
      </c>
      <c r="G5" s="90" t="s">
        <v>438</v>
      </c>
      <c r="H5" s="91" t="s">
        <v>439</v>
      </c>
      <c r="I5" s="92"/>
      <c r="J5" s="92"/>
      <c r="K5" s="92"/>
      <c r="L5" s="92"/>
      <c r="M5" s="92"/>
      <c r="N5" s="92"/>
    </row>
    <row r="6" spans="1:14" x14ac:dyDescent="0.3">
      <c r="A6" s="38">
        <v>1</v>
      </c>
      <c r="B6" s="38">
        <v>20006335</v>
      </c>
      <c r="C6" s="39" t="s">
        <v>49</v>
      </c>
      <c r="D6" s="39" t="s">
        <v>50</v>
      </c>
      <c r="E6" s="40"/>
      <c r="F6" s="40">
        <v>10</v>
      </c>
      <c r="G6" s="41"/>
      <c r="H6" s="41"/>
      <c r="I6" s="42" t="s">
        <v>183</v>
      </c>
      <c r="J6" s="93"/>
      <c r="K6" s="94"/>
      <c r="L6" s="95"/>
      <c r="M6" s="96"/>
    </row>
    <row r="7" spans="1:14" x14ac:dyDescent="0.3">
      <c r="A7" s="38">
        <v>2</v>
      </c>
      <c r="B7" s="38">
        <v>20000399</v>
      </c>
      <c r="C7" s="39" t="s">
        <v>167</v>
      </c>
      <c r="D7" s="39" t="s">
        <v>309</v>
      </c>
      <c r="E7" s="40"/>
      <c r="F7" s="40">
        <v>17</v>
      </c>
      <c r="G7" s="41"/>
      <c r="H7" s="41"/>
      <c r="I7" s="42" t="s">
        <v>308</v>
      </c>
      <c r="J7" s="93"/>
      <c r="K7" s="94"/>
      <c r="L7" s="95"/>
      <c r="M7" s="96"/>
    </row>
    <row r="8" spans="1:14" x14ac:dyDescent="0.3">
      <c r="A8" s="38">
        <v>3</v>
      </c>
      <c r="B8" s="38">
        <v>20000415</v>
      </c>
      <c r="C8" s="39" t="s">
        <v>168</v>
      </c>
      <c r="D8" s="39" t="s">
        <v>56</v>
      </c>
      <c r="E8" s="40"/>
      <c r="F8" s="40">
        <v>7</v>
      </c>
      <c r="G8" s="41"/>
      <c r="H8" s="41"/>
      <c r="I8" s="42" t="s">
        <v>176</v>
      </c>
      <c r="J8" s="93"/>
      <c r="K8" s="94"/>
      <c r="L8" s="95"/>
      <c r="M8" s="96"/>
    </row>
    <row r="9" spans="1:14" x14ac:dyDescent="0.3">
      <c r="A9" s="38">
        <v>4</v>
      </c>
      <c r="B9" s="38">
        <v>20000403</v>
      </c>
      <c r="C9" s="39" t="s">
        <v>305</v>
      </c>
      <c r="D9" s="39" t="s">
        <v>306</v>
      </c>
      <c r="E9" s="40"/>
      <c r="F9" s="40">
        <v>4</v>
      </c>
      <c r="G9" s="41"/>
      <c r="H9" s="41"/>
      <c r="I9" s="42" t="s">
        <v>307</v>
      </c>
      <c r="K9" s="95"/>
      <c r="L9" s="95"/>
      <c r="M9" s="96"/>
    </row>
    <row r="10" spans="1:14" s="97" customFormat="1" x14ac:dyDescent="0.3">
      <c r="A10" s="38">
        <v>5</v>
      </c>
      <c r="B10" s="38">
        <v>20006444</v>
      </c>
      <c r="C10" s="39" t="s">
        <v>58</v>
      </c>
      <c r="D10" s="39" t="s">
        <v>59</v>
      </c>
      <c r="E10" s="40"/>
      <c r="F10" s="40">
        <v>11</v>
      </c>
      <c r="G10" s="41"/>
      <c r="H10" s="41"/>
      <c r="I10" s="42" t="s">
        <v>383</v>
      </c>
      <c r="K10" s="98"/>
      <c r="L10" s="98"/>
      <c r="M10" s="99"/>
    </row>
    <row r="11" spans="1:14" x14ac:dyDescent="0.3">
      <c r="A11" s="38">
        <v>6</v>
      </c>
      <c r="B11" s="38">
        <v>20006347</v>
      </c>
      <c r="C11" s="39" t="s">
        <v>60</v>
      </c>
      <c r="D11" s="39" t="s">
        <v>61</v>
      </c>
      <c r="E11" s="40"/>
      <c r="F11" s="40">
        <v>2</v>
      </c>
      <c r="G11" s="41"/>
      <c r="H11" s="41"/>
      <c r="I11" s="42" t="s">
        <v>0</v>
      </c>
      <c r="K11" s="95"/>
      <c r="L11" s="95"/>
      <c r="M11" s="96"/>
    </row>
    <row r="12" spans="1:14" x14ac:dyDescent="0.3">
      <c r="A12" s="38">
        <v>7</v>
      </c>
      <c r="B12" s="38">
        <v>20009268</v>
      </c>
      <c r="C12" s="39" t="s">
        <v>381</v>
      </c>
      <c r="D12" s="39" t="s">
        <v>380</v>
      </c>
      <c r="E12" s="40"/>
      <c r="F12" s="40">
        <v>4</v>
      </c>
      <c r="G12" s="41"/>
      <c r="H12" s="41"/>
      <c r="I12" s="42" t="s">
        <v>288</v>
      </c>
    </row>
    <row r="13" spans="1:14" x14ac:dyDescent="0.3">
      <c r="A13" s="38">
        <v>8</v>
      </c>
      <c r="B13" s="38">
        <v>20006334</v>
      </c>
      <c r="C13" s="39" t="s">
        <v>177</v>
      </c>
      <c r="D13" s="39" t="s">
        <v>359</v>
      </c>
      <c r="E13" s="40"/>
      <c r="F13" s="40">
        <v>10</v>
      </c>
      <c r="G13" s="41"/>
      <c r="H13" s="41"/>
      <c r="I13" s="42" t="s">
        <v>185</v>
      </c>
    </row>
    <row r="14" spans="1:14" x14ac:dyDescent="0.3">
      <c r="A14" s="38">
        <v>9</v>
      </c>
      <c r="B14" s="38">
        <v>20006333</v>
      </c>
      <c r="C14" s="39" t="s">
        <v>63</v>
      </c>
      <c r="D14" s="39" t="s">
        <v>64</v>
      </c>
      <c r="E14" s="40"/>
      <c r="F14" s="40">
        <v>14</v>
      </c>
      <c r="G14" s="41"/>
      <c r="H14" s="41"/>
      <c r="I14" s="42" t="s">
        <v>186</v>
      </c>
    </row>
    <row r="15" spans="1:14" x14ac:dyDescent="0.3">
      <c r="A15" s="38">
        <v>10</v>
      </c>
      <c r="B15" s="38">
        <v>20003659</v>
      </c>
      <c r="C15" s="39" t="s">
        <v>65</v>
      </c>
      <c r="D15" s="39" t="s">
        <v>66</v>
      </c>
      <c r="E15" s="40"/>
      <c r="F15" s="40">
        <v>8</v>
      </c>
      <c r="G15" s="41"/>
      <c r="H15" s="41"/>
      <c r="I15" s="42" t="s">
        <v>187</v>
      </c>
    </row>
    <row r="16" spans="1:14" ht="24" x14ac:dyDescent="0.3">
      <c r="A16" s="38">
        <v>11</v>
      </c>
      <c r="B16" s="38">
        <v>20008541</v>
      </c>
      <c r="C16" s="39" t="s">
        <v>290</v>
      </c>
      <c r="D16" s="39" t="s">
        <v>289</v>
      </c>
      <c r="E16" s="40"/>
      <c r="F16" s="40">
        <v>8</v>
      </c>
      <c r="G16" s="41"/>
      <c r="H16" s="41"/>
      <c r="I16" s="43" t="s">
        <v>385</v>
      </c>
    </row>
    <row r="17" spans="1:9" ht="48" x14ac:dyDescent="0.3">
      <c r="A17" s="38">
        <v>12</v>
      </c>
      <c r="B17" s="38">
        <v>20006463</v>
      </c>
      <c r="C17" s="39" t="s">
        <v>292</v>
      </c>
      <c r="D17" s="39" t="s">
        <v>293</v>
      </c>
      <c r="E17" s="40"/>
      <c r="F17" s="40">
        <v>14</v>
      </c>
      <c r="G17" s="41"/>
      <c r="H17" s="41"/>
      <c r="I17" s="43" t="s">
        <v>394</v>
      </c>
    </row>
    <row r="18" spans="1:9" ht="16.5" customHeight="1" x14ac:dyDescent="0.3">
      <c r="A18" s="38">
        <v>13</v>
      </c>
      <c r="B18" s="38">
        <v>20000421</v>
      </c>
      <c r="C18" s="39" t="s">
        <v>67</v>
      </c>
      <c r="D18" s="39" t="s">
        <v>55</v>
      </c>
      <c r="E18" s="40"/>
      <c r="F18" s="40">
        <v>2</v>
      </c>
      <c r="G18" s="41"/>
      <c r="H18" s="41"/>
      <c r="I18" s="42" t="s">
        <v>1</v>
      </c>
    </row>
    <row r="19" spans="1:9" x14ac:dyDescent="0.3">
      <c r="A19" s="38">
        <v>14</v>
      </c>
      <c r="B19" s="38">
        <v>20006072</v>
      </c>
      <c r="C19" s="39" t="s">
        <v>180</v>
      </c>
      <c r="D19" s="39" t="s">
        <v>181</v>
      </c>
      <c r="E19" s="40"/>
      <c r="F19" s="40">
        <v>1</v>
      </c>
      <c r="G19" s="41"/>
      <c r="H19" s="41"/>
      <c r="I19" s="42" t="s">
        <v>412</v>
      </c>
    </row>
    <row r="20" spans="1:9" x14ac:dyDescent="0.3">
      <c r="A20" s="38">
        <v>15</v>
      </c>
      <c r="B20" s="38">
        <v>20000418</v>
      </c>
      <c r="C20" s="39" t="s">
        <v>415</v>
      </c>
      <c r="D20" s="39" t="s">
        <v>416</v>
      </c>
      <c r="E20" s="40"/>
      <c r="F20" s="40">
        <v>1</v>
      </c>
      <c r="G20" s="41"/>
      <c r="H20" s="41"/>
      <c r="I20" s="42" t="s">
        <v>411</v>
      </c>
    </row>
    <row r="21" spans="1:9" ht="16.5" customHeight="1" x14ac:dyDescent="0.3">
      <c r="A21" s="38">
        <v>16</v>
      </c>
      <c r="B21" s="38">
        <v>20002526</v>
      </c>
      <c r="C21" s="39" t="s">
        <v>312</v>
      </c>
      <c r="D21" s="39"/>
      <c r="E21" s="40"/>
      <c r="F21" s="40">
        <v>2</v>
      </c>
      <c r="G21" s="41"/>
      <c r="H21" s="41"/>
      <c r="I21" s="42" t="s">
        <v>189</v>
      </c>
    </row>
    <row r="22" spans="1:9" ht="16.5" customHeight="1" x14ac:dyDescent="0.3">
      <c r="A22" s="38">
        <v>17</v>
      </c>
      <c r="B22" s="38">
        <v>20000402</v>
      </c>
      <c r="C22" s="39" t="s">
        <v>68</v>
      </c>
      <c r="D22" s="39" t="s">
        <v>57</v>
      </c>
      <c r="E22" s="40"/>
      <c r="F22" s="40">
        <v>4</v>
      </c>
      <c r="G22" s="41"/>
      <c r="H22" s="41"/>
      <c r="I22" s="42" t="s">
        <v>190</v>
      </c>
    </row>
    <row r="23" spans="1:9" ht="16.5" customHeight="1" x14ac:dyDescent="0.3">
      <c r="A23" s="38">
        <v>18</v>
      </c>
      <c r="B23" s="38">
        <v>20000449</v>
      </c>
      <c r="C23" s="39" t="s">
        <v>360</v>
      </c>
      <c r="D23" s="39" t="s">
        <v>70</v>
      </c>
      <c r="E23" s="40"/>
      <c r="F23" s="40">
        <v>1</v>
      </c>
      <c r="G23" s="41"/>
      <c r="H23" s="41"/>
      <c r="I23" s="42" t="s">
        <v>191</v>
      </c>
    </row>
    <row r="24" spans="1:9" ht="16.5" customHeight="1" x14ac:dyDescent="0.3">
      <c r="A24" s="38">
        <v>19</v>
      </c>
      <c r="B24" s="38">
        <v>20000445</v>
      </c>
      <c r="C24" s="39" t="s">
        <v>71</v>
      </c>
      <c r="D24" s="39" t="s">
        <v>72</v>
      </c>
      <c r="E24" s="40"/>
      <c r="F24" s="40">
        <v>1</v>
      </c>
      <c r="G24" s="41"/>
      <c r="H24" s="41"/>
      <c r="I24" s="42" t="s">
        <v>192</v>
      </c>
    </row>
    <row r="25" spans="1:9" ht="16.5" customHeight="1" x14ac:dyDescent="0.3">
      <c r="A25" s="38">
        <v>20</v>
      </c>
      <c r="B25" s="38">
        <v>20004609</v>
      </c>
      <c r="C25" s="39" t="s">
        <v>313</v>
      </c>
      <c r="D25" s="39" t="s">
        <v>314</v>
      </c>
      <c r="E25" s="40"/>
      <c r="F25" s="40">
        <v>1</v>
      </c>
      <c r="G25" s="41"/>
      <c r="H25" s="41"/>
      <c r="I25" s="42" t="s">
        <v>193</v>
      </c>
    </row>
    <row r="26" spans="1:9" ht="16.5" customHeight="1" x14ac:dyDescent="0.3">
      <c r="A26" s="38">
        <v>21</v>
      </c>
      <c r="B26" s="38">
        <v>20008542</v>
      </c>
      <c r="C26" s="39" t="s">
        <v>279</v>
      </c>
      <c r="D26" s="39"/>
      <c r="E26" s="40"/>
      <c r="F26" s="40">
        <v>1</v>
      </c>
      <c r="G26" s="41"/>
      <c r="H26" s="41"/>
      <c r="I26" s="42" t="s">
        <v>194</v>
      </c>
    </row>
    <row r="27" spans="1:9" ht="16.5" customHeight="1" x14ac:dyDescent="0.3">
      <c r="A27" s="38">
        <v>22</v>
      </c>
      <c r="B27" s="38">
        <v>20007177</v>
      </c>
      <c r="C27" s="39" t="s">
        <v>281</v>
      </c>
      <c r="D27" s="39" t="s">
        <v>280</v>
      </c>
      <c r="E27" s="40"/>
      <c r="F27" s="40">
        <v>1</v>
      </c>
      <c r="G27" s="41"/>
      <c r="H27" s="41"/>
      <c r="I27" s="42" t="s">
        <v>195</v>
      </c>
    </row>
    <row r="28" spans="1:9" ht="16.5" customHeight="1" x14ac:dyDescent="0.3">
      <c r="A28" s="38">
        <v>23</v>
      </c>
      <c r="B28" s="38">
        <v>20007682</v>
      </c>
      <c r="C28" s="39" t="s">
        <v>317</v>
      </c>
      <c r="D28" s="39" t="s">
        <v>318</v>
      </c>
      <c r="E28" s="40"/>
      <c r="F28" s="40">
        <v>1</v>
      </c>
      <c r="G28" s="41"/>
      <c r="H28" s="41"/>
      <c r="I28" s="42" t="s">
        <v>196</v>
      </c>
    </row>
    <row r="29" spans="1:9" ht="16.5" customHeight="1" x14ac:dyDescent="0.3">
      <c r="A29" s="38">
        <v>24</v>
      </c>
      <c r="B29" s="38">
        <v>20006723</v>
      </c>
      <c r="C29" s="39" t="s">
        <v>73</v>
      </c>
      <c r="D29" s="39" t="s">
        <v>55</v>
      </c>
      <c r="E29" s="40"/>
      <c r="F29" s="40">
        <v>1</v>
      </c>
      <c r="G29" s="41"/>
      <c r="H29" s="41"/>
      <c r="I29" s="42" t="s">
        <v>197</v>
      </c>
    </row>
    <row r="30" spans="1:9" ht="16.5" customHeight="1" x14ac:dyDescent="0.3">
      <c r="A30" s="38">
        <v>25</v>
      </c>
      <c r="B30" s="38">
        <v>20007680</v>
      </c>
      <c r="C30" s="39" t="s">
        <v>74</v>
      </c>
      <c r="D30" s="39" t="s">
        <v>75</v>
      </c>
      <c r="E30" s="40"/>
      <c r="F30" s="40">
        <v>3</v>
      </c>
      <c r="G30" s="41"/>
      <c r="H30" s="41"/>
      <c r="I30" s="42" t="s">
        <v>198</v>
      </c>
    </row>
    <row r="31" spans="1:9" ht="16.5" customHeight="1" x14ac:dyDescent="0.3">
      <c r="A31" s="38">
        <v>26</v>
      </c>
      <c r="B31" s="38">
        <v>20006355</v>
      </c>
      <c r="C31" s="39" t="s">
        <v>3</v>
      </c>
      <c r="D31" s="39"/>
      <c r="E31" s="40"/>
      <c r="F31" s="40">
        <v>2</v>
      </c>
      <c r="G31" s="41"/>
      <c r="H31" s="41"/>
      <c r="I31" s="42" t="s">
        <v>2</v>
      </c>
    </row>
    <row r="32" spans="1:9" ht="16.5" customHeight="1" x14ac:dyDescent="0.3">
      <c r="A32" s="11">
        <v>27</v>
      </c>
      <c r="B32" s="11">
        <v>20006349</v>
      </c>
      <c r="C32" s="13" t="s">
        <v>451</v>
      </c>
      <c r="D32" s="13" t="s">
        <v>451</v>
      </c>
      <c r="E32" s="5"/>
      <c r="F32" s="5">
        <v>4</v>
      </c>
      <c r="G32" s="5" t="s">
        <v>452</v>
      </c>
      <c r="H32" s="48"/>
      <c r="I32" s="49" t="s">
        <v>200</v>
      </c>
    </row>
    <row r="33" spans="1:9" ht="16.5" customHeight="1" x14ac:dyDescent="0.3">
      <c r="A33" s="101">
        <v>28</v>
      </c>
      <c r="B33" s="101">
        <v>20008543</v>
      </c>
      <c r="C33" s="102" t="s">
        <v>199</v>
      </c>
      <c r="D33" s="102" t="s">
        <v>283</v>
      </c>
      <c r="E33" s="100"/>
      <c r="F33" s="100">
        <v>0</v>
      </c>
      <c r="G33" s="5" t="s">
        <v>456</v>
      </c>
      <c r="H33" s="48"/>
      <c r="I33" s="49"/>
    </row>
    <row r="34" spans="1:9" ht="16.5" customHeight="1" x14ac:dyDescent="0.3">
      <c r="A34" s="38">
        <v>29</v>
      </c>
      <c r="B34" s="38">
        <v>20006353</v>
      </c>
      <c r="C34" s="39" t="s">
        <v>361</v>
      </c>
      <c r="D34" s="39" t="s">
        <v>361</v>
      </c>
      <c r="E34" s="40"/>
      <c r="F34" s="40">
        <v>2</v>
      </c>
      <c r="G34" s="41"/>
      <c r="H34" s="41"/>
      <c r="I34" s="42" t="s">
        <v>4</v>
      </c>
    </row>
    <row r="35" spans="1:9" ht="16.5" customHeight="1" x14ac:dyDescent="0.3">
      <c r="A35" s="38">
        <v>30</v>
      </c>
      <c r="B35" s="38">
        <v>20006350</v>
      </c>
      <c r="C35" s="39" t="s">
        <v>7</v>
      </c>
      <c r="D35" s="39" t="s">
        <v>7</v>
      </c>
      <c r="E35" s="40"/>
      <c r="F35" s="40">
        <v>2</v>
      </c>
      <c r="G35" s="41"/>
      <c r="H35" s="41"/>
      <c r="I35" s="42" t="s">
        <v>6</v>
      </c>
    </row>
    <row r="36" spans="1:9" x14ac:dyDescent="0.3">
      <c r="A36" s="38">
        <v>31</v>
      </c>
      <c r="B36" s="38">
        <v>20007693</v>
      </c>
      <c r="C36" s="39" t="s">
        <v>76</v>
      </c>
      <c r="D36" s="39"/>
      <c r="E36" s="40"/>
      <c r="F36" s="40">
        <v>2</v>
      </c>
      <c r="G36" s="41"/>
      <c r="H36" s="41"/>
      <c r="I36" s="42" t="s">
        <v>8</v>
      </c>
    </row>
    <row r="37" spans="1:9" x14ac:dyDescent="0.3">
      <c r="A37" s="38">
        <v>32</v>
      </c>
      <c r="B37" s="38">
        <v>20007232</v>
      </c>
      <c r="C37" s="39" t="s">
        <v>315</v>
      </c>
      <c r="D37" s="39" t="s">
        <v>316</v>
      </c>
      <c r="E37" s="40"/>
      <c r="F37" s="40">
        <v>4</v>
      </c>
      <c r="G37" s="41"/>
      <c r="H37" s="41"/>
      <c r="I37" s="42" t="s">
        <v>201</v>
      </c>
    </row>
    <row r="38" spans="1:9" x14ac:dyDescent="0.3">
      <c r="A38" s="38">
        <v>33</v>
      </c>
      <c r="B38" s="38">
        <v>20006730</v>
      </c>
      <c r="C38" s="39" t="s">
        <v>302</v>
      </c>
      <c r="D38" s="39"/>
      <c r="E38" s="40"/>
      <c r="F38" s="40">
        <v>1</v>
      </c>
      <c r="G38" s="41"/>
      <c r="H38" s="41"/>
      <c r="I38" s="42" t="s">
        <v>202</v>
      </c>
    </row>
    <row r="39" spans="1:9" ht="17.649999999999999" customHeight="1" x14ac:dyDescent="0.3">
      <c r="A39" s="38">
        <v>34</v>
      </c>
      <c r="B39" s="38">
        <v>20008544</v>
      </c>
      <c r="C39" s="39" t="s">
        <v>300</v>
      </c>
      <c r="D39" s="39"/>
      <c r="E39" s="40"/>
      <c r="F39" s="40">
        <v>1</v>
      </c>
      <c r="G39" s="41"/>
      <c r="H39" s="41"/>
      <c r="I39" s="42" t="s">
        <v>9</v>
      </c>
    </row>
    <row r="40" spans="1:9" x14ac:dyDescent="0.3">
      <c r="A40" s="38">
        <v>35</v>
      </c>
      <c r="B40" s="38">
        <v>20006369</v>
      </c>
      <c r="C40" s="39" t="s">
        <v>78</v>
      </c>
      <c r="D40" s="39" t="s">
        <v>77</v>
      </c>
      <c r="E40" s="40"/>
      <c r="F40" s="40">
        <v>3</v>
      </c>
      <c r="G40" s="41"/>
      <c r="H40" s="41"/>
      <c r="I40" s="42" t="s">
        <v>205</v>
      </c>
    </row>
    <row r="41" spans="1:9" x14ac:dyDescent="0.3">
      <c r="A41" s="38">
        <v>36</v>
      </c>
      <c r="B41" s="38">
        <v>20006370</v>
      </c>
      <c r="C41" s="39" t="s">
        <v>362</v>
      </c>
      <c r="D41" s="39" t="s">
        <v>282</v>
      </c>
      <c r="E41" s="40"/>
      <c r="F41" s="40">
        <v>3</v>
      </c>
      <c r="G41" s="41"/>
      <c r="H41" s="41"/>
      <c r="I41" s="42" t="s">
        <v>396</v>
      </c>
    </row>
    <row r="42" spans="1:9" x14ac:dyDescent="0.3">
      <c r="A42" s="38">
        <v>37</v>
      </c>
      <c r="B42" s="38">
        <v>20007698</v>
      </c>
      <c r="C42" s="39" t="s">
        <v>79</v>
      </c>
      <c r="D42" s="39" t="s">
        <v>80</v>
      </c>
      <c r="E42" s="40"/>
      <c r="F42" s="40">
        <v>8</v>
      </c>
      <c r="G42" s="41"/>
      <c r="H42" s="41"/>
      <c r="I42" s="42" t="s">
        <v>208</v>
      </c>
    </row>
    <row r="43" spans="1:9" x14ac:dyDescent="0.3">
      <c r="A43" s="38">
        <v>38</v>
      </c>
      <c r="B43" s="38">
        <v>20008546</v>
      </c>
      <c r="C43" s="39" t="s">
        <v>209</v>
      </c>
      <c r="D43" s="39" t="s">
        <v>284</v>
      </c>
      <c r="E43" s="40"/>
      <c r="F43" s="40">
        <v>2</v>
      </c>
      <c r="G43" s="41"/>
      <c r="H43" s="41"/>
      <c r="I43" s="42" t="s">
        <v>210</v>
      </c>
    </row>
    <row r="44" spans="1:9" x14ac:dyDescent="0.3">
      <c r="A44" s="38">
        <v>39</v>
      </c>
      <c r="B44" s="38">
        <v>20007704</v>
      </c>
      <c r="C44" s="39" t="s">
        <v>82</v>
      </c>
      <c r="D44" s="39" t="s">
        <v>81</v>
      </c>
      <c r="E44" s="40"/>
      <c r="F44" s="40">
        <v>2</v>
      </c>
      <c r="G44" s="41"/>
      <c r="H44" s="41"/>
      <c r="I44" s="42" t="s">
        <v>10</v>
      </c>
    </row>
    <row r="45" spans="1:9" x14ac:dyDescent="0.3">
      <c r="A45" s="38">
        <v>40</v>
      </c>
      <c r="B45" s="38">
        <v>20008547</v>
      </c>
      <c r="C45" s="39" t="s">
        <v>211</v>
      </c>
      <c r="D45" s="39" t="s">
        <v>286</v>
      </c>
      <c r="E45" s="40"/>
      <c r="F45" s="40">
        <v>1</v>
      </c>
      <c r="G45" s="41"/>
      <c r="H45" s="41"/>
      <c r="I45" s="42" t="s">
        <v>212</v>
      </c>
    </row>
    <row r="46" spans="1:9" x14ac:dyDescent="0.3">
      <c r="A46" s="38">
        <v>41</v>
      </c>
      <c r="B46" s="38">
        <v>20008611</v>
      </c>
      <c r="C46" s="39" t="s">
        <v>342</v>
      </c>
      <c r="D46" s="39" t="s">
        <v>418</v>
      </c>
      <c r="E46" s="40"/>
      <c r="F46" s="40">
        <v>1</v>
      </c>
      <c r="G46" s="41"/>
      <c r="H46" s="41"/>
      <c r="I46" s="42" t="s">
        <v>11</v>
      </c>
    </row>
    <row r="47" spans="1:9" x14ac:dyDescent="0.3">
      <c r="A47" s="38">
        <v>42</v>
      </c>
      <c r="B47" s="38">
        <v>20006372</v>
      </c>
      <c r="C47" s="39" t="s">
        <v>13</v>
      </c>
      <c r="D47" s="39" t="s">
        <v>83</v>
      </c>
      <c r="E47" s="40"/>
      <c r="F47" s="40">
        <v>2</v>
      </c>
      <c r="G47" s="41"/>
      <c r="H47" s="41"/>
      <c r="I47" s="42" t="s">
        <v>12</v>
      </c>
    </row>
    <row r="48" spans="1:9" x14ac:dyDescent="0.3">
      <c r="A48" s="38">
        <v>43</v>
      </c>
      <c r="B48" s="38">
        <v>20007169</v>
      </c>
      <c r="C48" s="39" t="s">
        <v>15</v>
      </c>
      <c r="D48" s="39"/>
      <c r="E48" s="40"/>
      <c r="F48" s="40">
        <v>2</v>
      </c>
      <c r="G48" s="41"/>
      <c r="H48" s="41"/>
      <c r="I48" s="42" t="s">
        <v>14</v>
      </c>
    </row>
    <row r="49" spans="1:9" x14ac:dyDescent="0.3">
      <c r="A49" s="38">
        <v>44</v>
      </c>
      <c r="B49" s="38">
        <v>20003777</v>
      </c>
      <c r="C49" s="39" t="s">
        <v>84</v>
      </c>
      <c r="D49" s="39"/>
      <c r="E49" s="40"/>
      <c r="F49" s="40">
        <v>2</v>
      </c>
      <c r="G49" s="41"/>
      <c r="H49" s="41"/>
      <c r="I49" s="42" t="s">
        <v>16</v>
      </c>
    </row>
    <row r="50" spans="1:9" x14ac:dyDescent="0.3">
      <c r="A50" s="38">
        <v>45</v>
      </c>
      <c r="B50" s="38">
        <v>20007705</v>
      </c>
      <c r="C50" s="39" t="s">
        <v>18</v>
      </c>
      <c r="D50" s="39"/>
      <c r="E50" s="40"/>
      <c r="F50" s="40">
        <v>1</v>
      </c>
      <c r="G50" s="41"/>
      <c r="H50" s="41"/>
      <c r="I50" s="42" t="s">
        <v>17</v>
      </c>
    </row>
    <row r="51" spans="1:9" x14ac:dyDescent="0.3">
      <c r="A51" s="38">
        <v>46</v>
      </c>
      <c r="B51" s="38">
        <v>20000477</v>
      </c>
      <c r="C51" s="39" t="s">
        <v>363</v>
      </c>
      <c r="D51" s="39" t="s">
        <v>364</v>
      </c>
      <c r="E51" s="40"/>
      <c r="F51" s="40">
        <v>1</v>
      </c>
      <c r="G51" s="41"/>
      <c r="H51" s="41"/>
      <c r="I51" s="42" t="s">
        <v>179</v>
      </c>
    </row>
    <row r="52" spans="1:9" x14ac:dyDescent="0.3">
      <c r="A52" s="38">
        <v>47</v>
      </c>
      <c r="B52" s="38">
        <v>20000473</v>
      </c>
      <c r="C52" s="39" t="s">
        <v>21</v>
      </c>
      <c r="D52" s="39" t="s">
        <v>86</v>
      </c>
      <c r="E52" s="40"/>
      <c r="F52" s="40">
        <v>1</v>
      </c>
      <c r="G52" s="41"/>
      <c r="H52" s="41"/>
      <c r="I52" s="42" t="s">
        <v>20</v>
      </c>
    </row>
    <row r="53" spans="1:9" x14ac:dyDescent="0.3">
      <c r="A53" s="38">
        <v>48</v>
      </c>
      <c r="B53" s="38">
        <v>20003132</v>
      </c>
      <c r="C53" s="39" t="s">
        <v>89</v>
      </c>
      <c r="D53" s="39" t="s">
        <v>90</v>
      </c>
      <c r="E53" s="40"/>
      <c r="F53" s="40">
        <v>2</v>
      </c>
      <c r="G53" s="41"/>
      <c r="H53" s="41"/>
      <c r="I53" s="42" t="s">
        <v>213</v>
      </c>
    </row>
    <row r="54" spans="1:9" x14ac:dyDescent="0.3">
      <c r="A54" s="38">
        <v>49</v>
      </c>
      <c r="B54" s="38">
        <v>20000706</v>
      </c>
      <c r="C54" s="39" t="s">
        <v>87</v>
      </c>
      <c r="D54" s="39" t="s">
        <v>88</v>
      </c>
      <c r="E54" s="40"/>
      <c r="F54" s="40">
        <v>1</v>
      </c>
      <c r="G54" s="41"/>
      <c r="H54" s="41"/>
      <c r="I54" s="42" t="s">
        <v>214</v>
      </c>
    </row>
    <row r="55" spans="1:9" x14ac:dyDescent="0.3">
      <c r="A55" s="38">
        <v>50</v>
      </c>
      <c r="B55" s="38">
        <v>20007166</v>
      </c>
      <c r="C55" s="39" t="s">
        <v>319</v>
      </c>
      <c r="D55" s="39" t="s">
        <v>320</v>
      </c>
      <c r="E55" s="40"/>
      <c r="F55" s="40">
        <v>1</v>
      </c>
      <c r="G55" s="41"/>
      <c r="H55" s="41"/>
      <c r="I55" s="42" t="s">
        <v>22</v>
      </c>
    </row>
    <row r="56" spans="1:9" x14ac:dyDescent="0.3">
      <c r="A56" s="38">
        <v>51</v>
      </c>
      <c r="B56" s="38">
        <v>20006438</v>
      </c>
      <c r="C56" s="39" t="s">
        <v>216</v>
      </c>
      <c r="D56" s="39" t="s">
        <v>295</v>
      </c>
      <c r="E56" s="40"/>
      <c r="F56" s="40">
        <v>1</v>
      </c>
      <c r="G56" s="41"/>
      <c r="H56" s="41"/>
      <c r="I56" s="42" t="s">
        <v>215</v>
      </c>
    </row>
    <row r="57" spans="1:9" x14ac:dyDescent="0.3">
      <c r="A57" s="38">
        <v>52</v>
      </c>
      <c r="B57" s="38">
        <v>20006691</v>
      </c>
      <c r="C57" s="39" t="s">
        <v>92</v>
      </c>
      <c r="D57" s="39" t="s">
        <v>91</v>
      </c>
      <c r="E57" s="40"/>
      <c r="F57" s="40">
        <v>4</v>
      </c>
      <c r="G57" s="41"/>
      <c r="H57" s="41"/>
      <c r="I57" s="42" t="s">
        <v>217</v>
      </c>
    </row>
    <row r="58" spans="1:9" x14ac:dyDescent="0.3">
      <c r="A58" s="38">
        <v>53</v>
      </c>
      <c r="B58" s="38">
        <v>20002555</v>
      </c>
      <c r="C58" s="39" t="s">
        <v>93</v>
      </c>
      <c r="D58" s="39" t="s">
        <v>94</v>
      </c>
      <c r="E58" s="40"/>
      <c r="F58" s="40">
        <v>3</v>
      </c>
      <c r="G58" s="41"/>
      <c r="H58" s="41"/>
      <c r="I58" s="42" t="s">
        <v>23</v>
      </c>
    </row>
    <row r="59" spans="1:9" x14ac:dyDescent="0.3">
      <c r="A59" s="38">
        <v>54</v>
      </c>
      <c r="B59" s="38">
        <v>20008548</v>
      </c>
      <c r="C59" s="39" t="s">
        <v>97</v>
      </c>
      <c r="D59" s="39" t="s">
        <v>97</v>
      </c>
      <c r="E59" s="40"/>
      <c r="F59" s="40">
        <v>1</v>
      </c>
      <c r="G59" s="41"/>
      <c r="H59" s="41"/>
      <c r="I59" s="42" t="s">
        <v>24</v>
      </c>
    </row>
    <row r="60" spans="1:9" x14ac:dyDescent="0.3">
      <c r="A60" s="38">
        <v>55</v>
      </c>
      <c r="B60" s="38">
        <v>20000626</v>
      </c>
      <c r="C60" s="39" t="s">
        <v>365</v>
      </c>
      <c r="D60" s="39" t="s">
        <v>96</v>
      </c>
      <c r="E60" s="40"/>
      <c r="F60" s="40">
        <v>10</v>
      </c>
      <c r="G60" s="41"/>
      <c r="H60" s="41"/>
      <c r="I60" s="42" t="s">
        <v>371</v>
      </c>
    </row>
    <row r="61" spans="1:9" x14ac:dyDescent="0.3">
      <c r="A61" s="38">
        <v>56</v>
      </c>
      <c r="B61" s="38">
        <v>20007714</v>
      </c>
      <c r="C61" s="39" t="s">
        <v>98</v>
      </c>
      <c r="D61" s="39"/>
      <c r="E61" s="40"/>
      <c r="F61" s="40">
        <v>1</v>
      </c>
      <c r="G61" s="41"/>
      <c r="H61" s="41"/>
      <c r="I61" s="42" t="s">
        <v>25</v>
      </c>
    </row>
    <row r="62" spans="1:9" x14ac:dyDescent="0.3">
      <c r="A62" s="38">
        <v>57</v>
      </c>
      <c r="B62" s="38">
        <v>20004967</v>
      </c>
      <c r="C62" s="39" t="s">
        <v>99</v>
      </c>
      <c r="D62" s="39" t="s">
        <v>100</v>
      </c>
      <c r="E62" s="40"/>
      <c r="F62" s="40">
        <v>1</v>
      </c>
      <c r="G62" s="41"/>
      <c r="H62" s="41"/>
      <c r="I62" s="42" t="s">
        <v>26</v>
      </c>
    </row>
    <row r="63" spans="1:9" x14ac:dyDescent="0.3">
      <c r="A63" s="38">
        <v>58</v>
      </c>
      <c r="B63" s="38">
        <v>20002400</v>
      </c>
      <c r="C63" s="39" t="s">
        <v>170</v>
      </c>
      <c r="D63" s="39" t="s">
        <v>101</v>
      </c>
      <c r="E63" s="40"/>
      <c r="F63" s="40">
        <v>1</v>
      </c>
      <c r="G63" s="41"/>
      <c r="H63" s="41"/>
      <c r="I63" s="42" t="s">
        <v>27</v>
      </c>
    </row>
    <row r="64" spans="1:9" x14ac:dyDescent="0.3">
      <c r="A64" s="38">
        <v>59</v>
      </c>
      <c r="B64" s="38">
        <v>20004970</v>
      </c>
      <c r="C64" s="39" t="s">
        <v>102</v>
      </c>
      <c r="D64" s="39" t="s">
        <v>103</v>
      </c>
      <c r="E64" s="40"/>
      <c r="F64" s="40">
        <v>2</v>
      </c>
      <c r="G64" s="41"/>
      <c r="H64" s="41"/>
      <c r="I64" s="42" t="s">
        <v>28</v>
      </c>
    </row>
    <row r="65" spans="1:9" x14ac:dyDescent="0.3">
      <c r="A65" s="38">
        <v>60</v>
      </c>
      <c r="B65" s="38">
        <v>20006393</v>
      </c>
      <c r="C65" s="39" t="s">
        <v>397</v>
      </c>
      <c r="D65" s="39" t="s">
        <v>400</v>
      </c>
      <c r="E65" s="40"/>
      <c r="F65" s="40">
        <v>1</v>
      </c>
      <c r="G65" s="41"/>
      <c r="H65" s="41"/>
      <c r="I65" s="42" t="s">
        <v>398</v>
      </c>
    </row>
    <row r="66" spans="1:9" x14ac:dyDescent="0.3">
      <c r="A66" s="38">
        <v>61</v>
      </c>
      <c r="B66" s="38">
        <v>20000604</v>
      </c>
      <c r="C66" s="39" t="s">
        <v>104</v>
      </c>
      <c r="D66" s="39" t="s">
        <v>105</v>
      </c>
      <c r="E66" s="40"/>
      <c r="F66" s="40">
        <v>1</v>
      </c>
      <c r="G66" s="41"/>
      <c r="H66" s="41"/>
      <c r="I66" s="42" t="s">
        <v>399</v>
      </c>
    </row>
    <row r="67" spans="1:9" ht="96" x14ac:dyDescent="0.3">
      <c r="A67" s="38">
        <v>62</v>
      </c>
      <c r="B67" s="38">
        <v>20000549</v>
      </c>
      <c r="C67" s="39" t="s">
        <v>106</v>
      </c>
      <c r="D67" s="39" t="s">
        <v>107</v>
      </c>
      <c r="E67" s="40"/>
      <c r="F67" s="40">
        <v>29</v>
      </c>
      <c r="G67" s="41"/>
      <c r="H67" s="41"/>
      <c r="I67" s="43" t="s">
        <v>219</v>
      </c>
    </row>
    <row r="68" spans="1:9" x14ac:dyDescent="0.3">
      <c r="A68" s="11">
        <v>63</v>
      </c>
      <c r="B68" s="11">
        <v>20000562</v>
      </c>
      <c r="C68" s="13" t="s">
        <v>108</v>
      </c>
      <c r="D68" s="13" t="s">
        <v>109</v>
      </c>
      <c r="E68" s="5"/>
      <c r="F68" s="5" t="s">
        <v>458</v>
      </c>
      <c r="G68" s="5" t="s">
        <v>460</v>
      </c>
      <c r="H68" s="48"/>
      <c r="I68" s="49" t="s">
        <v>459</v>
      </c>
    </row>
    <row r="69" spans="1:9" x14ac:dyDescent="0.3">
      <c r="A69" s="38">
        <v>64</v>
      </c>
      <c r="B69" s="38">
        <v>20000583</v>
      </c>
      <c r="C69" s="39" t="s">
        <v>110</v>
      </c>
      <c r="D69" s="39" t="s">
        <v>111</v>
      </c>
      <c r="E69" s="40"/>
      <c r="F69" s="40">
        <v>6</v>
      </c>
      <c r="G69" s="41"/>
      <c r="H69" s="41"/>
      <c r="I69" s="42" t="s">
        <v>221</v>
      </c>
    </row>
    <row r="70" spans="1:9" x14ac:dyDescent="0.3">
      <c r="A70" s="38">
        <v>65</v>
      </c>
      <c r="B70" s="38">
        <v>20000565</v>
      </c>
      <c r="C70" s="39" t="s">
        <v>147</v>
      </c>
      <c r="D70" s="39" t="s">
        <v>148</v>
      </c>
      <c r="E70" s="40"/>
      <c r="F70" s="40">
        <v>9</v>
      </c>
      <c r="G70" s="41"/>
      <c r="H70" s="41"/>
      <c r="I70" s="42" t="s">
        <v>222</v>
      </c>
    </row>
    <row r="71" spans="1:9" x14ac:dyDescent="0.3">
      <c r="A71" s="38">
        <v>66</v>
      </c>
      <c r="B71" s="38">
        <v>20002424</v>
      </c>
      <c r="C71" s="39" t="s">
        <v>366</v>
      </c>
      <c r="D71" s="39" t="s">
        <v>330</v>
      </c>
      <c r="E71" s="40"/>
      <c r="F71" s="40">
        <v>1</v>
      </c>
      <c r="G71" s="41"/>
      <c r="H71" s="41"/>
      <c r="I71" s="42" t="s">
        <v>30</v>
      </c>
    </row>
    <row r="72" spans="1:9" x14ac:dyDescent="0.3">
      <c r="A72" s="38">
        <v>67</v>
      </c>
      <c r="B72" s="38">
        <v>20006390</v>
      </c>
      <c r="C72" s="39" t="s">
        <v>115</v>
      </c>
      <c r="D72" s="39" t="s">
        <v>112</v>
      </c>
      <c r="E72" s="40"/>
      <c r="F72" s="40">
        <v>1</v>
      </c>
      <c r="G72" s="41"/>
      <c r="H72" s="41"/>
      <c r="I72" s="42" t="s">
        <v>223</v>
      </c>
    </row>
    <row r="73" spans="1:9" x14ac:dyDescent="0.3">
      <c r="A73" s="38">
        <v>68</v>
      </c>
      <c r="B73" s="38">
        <v>20006418</v>
      </c>
      <c r="C73" s="39" t="s">
        <v>113</v>
      </c>
      <c r="D73" s="39" t="s">
        <v>114</v>
      </c>
      <c r="E73" s="40"/>
      <c r="F73" s="40">
        <v>1</v>
      </c>
      <c r="G73" s="41"/>
      <c r="H73" s="41"/>
      <c r="I73" s="42" t="s">
        <v>31</v>
      </c>
    </row>
    <row r="74" spans="1:9" x14ac:dyDescent="0.3">
      <c r="A74" s="38">
        <v>69</v>
      </c>
      <c r="B74" s="38">
        <v>20000580</v>
      </c>
      <c r="C74" s="39" t="s">
        <v>117</v>
      </c>
      <c r="D74" s="39" t="s">
        <v>118</v>
      </c>
      <c r="E74" s="40"/>
      <c r="F74" s="40">
        <v>2</v>
      </c>
      <c r="G74" s="41"/>
      <c r="H74" s="41"/>
      <c r="I74" s="42" t="s">
        <v>395</v>
      </c>
    </row>
    <row r="75" spans="1:9" x14ac:dyDescent="0.3">
      <c r="A75" s="38">
        <v>70</v>
      </c>
      <c r="B75" s="38">
        <v>20002561</v>
      </c>
      <c r="C75" s="39" t="s">
        <v>171</v>
      </c>
      <c r="D75" s="39" t="s">
        <v>116</v>
      </c>
      <c r="E75" s="40"/>
      <c r="F75" s="40">
        <v>1</v>
      </c>
      <c r="G75" s="41"/>
      <c r="H75" s="41"/>
      <c r="I75" s="42" t="s">
        <v>32</v>
      </c>
    </row>
    <row r="76" spans="1:9" x14ac:dyDescent="0.3">
      <c r="A76" s="38">
        <v>71</v>
      </c>
      <c r="B76" s="50">
        <v>20000594</v>
      </c>
      <c r="C76" s="51" t="s">
        <v>119</v>
      </c>
      <c r="D76" s="51" t="s">
        <v>120</v>
      </c>
      <c r="E76" s="52"/>
      <c r="F76" s="52">
        <v>1</v>
      </c>
      <c r="G76" s="53"/>
      <c r="H76" s="53"/>
      <c r="I76" s="54" t="s">
        <v>33</v>
      </c>
    </row>
    <row r="77" spans="1:9" x14ac:dyDescent="0.3">
      <c r="A77" s="38">
        <v>72</v>
      </c>
      <c r="B77" s="38">
        <v>20009236</v>
      </c>
      <c r="C77" s="39" t="s">
        <v>121</v>
      </c>
      <c r="D77" s="39" t="s">
        <v>370</v>
      </c>
      <c r="E77" s="40"/>
      <c r="F77" s="40">
        <v>2</v>
      </c>
      <c r="G77" s="41"/>
      <c r="H77" s="41"/>
      <c r="I77" s="42" t="s">
        <v>225</v>
      </c>
    </row>
    <row r="78" spans="1:9" x14ac:dyDescent="0.3">
      <c r="A78" s="38">
        <v>73</v>
      </c>
      <c r="B78" s="38">
        <v>20000585</v>
      </c>
      <c r="C78" s="39" t="s">
        <v>125</v>
      </c>
      <c r="D78" s="39" t="s">
        <v>126</v>
      </c>
      <c r="E78" s="40"/>
      <c r="F78" s="40">
        <v>2</v>
      </c>
      <c r="G78" s="41"/>
      <c r="H78" s="41"/>
      <c r="I78" s="42" t="s">
        <v>34</v>
      </c>
    </row>
    <row r="79" spans="1:9" x14ac:dyDescent="0.3">
      <c r="A79" s="38">
        <v>74</v>
      </c>
      <c r="B79" s="38">
        <v>20006594</v>
      </c>
      <c r="C79" s="39" t="s">
        <v>123</v>
      </c>
      <c r="D79" s="39" t="s">
        <v>124</v>
      </c>
      <c r="E79" s="40"/>
      <c r="F79" s="40">
        <v>2</v>
      </c>
      <c r="G79" s="41"/>
      <c r="H79" s="41"/>
      <c r="I79" s="42" t="s">
        <v>226</v>
      </c>
    </row>
    <row r="80" spans="1:9" x14ac:dyDescent="0.3">
      <c r="A80" s="38">
        <v>75</v>
      </c>
      <c r="B80" s="38">
        <v>20006377</v>
      </c>
      <c r="C80" s="39" t="s">
        <v>321</v>
      </c>
      <c r="D80" s="39" t="s">
        <v>322</v>
      </c>
      <c r="E80" s="40"/>
      <c r="F80" s="40">
        <v>3</v>
      </c>
      <c r="G80" s="41"/>
      <c r="H80" s="41"/>
      <c r="I80" s="42" t="s">
        <v>227</v>
      </c>
    </row>
    <row r="81" spans="1:9" x14ac:dyDescent="0.3">
      <c r="A81" s="38">
        <v>76</v>
      </c>
      <c r="B81" s="38">
        <v>20008549</v>
      </c>
      <c r="C81" s="39" t="s">
        <v>229</v>
      </c>
      <c r="D81" s="39"/>
      <c r="E81" s="40"/>
      <c r="F81" s="40">
        <v>8</v>
      </c>
      <c r="G81" s="41"/>
      <c r="H81" s="41"/>
      <c r="I81" s="42" t="s">
        <v>228</v>
      </c>
    </row>
    <row r="82" spans="1:9" x14ac:dyDescent="0.3">
      <c r="A82" s="38">
        <v>77</v>
      </c>
      <c r="B82" s="38">
        <v>20000592</v>
      </c>
      <c r="C82" s="39" t="s">
        <v>127</v>
      </c>
      <c r="D82" s="39" t="s">
        <v>128</v>
      </c>
      <c r="E82" s="40"/>
      <c r="F82" s="40">
        <v>2</v>
      </c>
      <c r="G82" s="41"/>
      <c r="H82" s="41"/>
      <c r="I82" s="42" t="s">
        <v>230</v>
      </c>
    </row>
    <row r="83" spans="1:9" x14ac:dyDescent="0.3">
      <c r="A83" s="38">
        <v>78</v>
      </c>
      <c r="B83" s="38">
        <v>20002559</v>
      </c>
      <c r="C83" s="39" t="s">
        <v>172</v>
      </c>
      <c r="D83" s="39" t="s">
        <v>129</v>
      </c>
      <c r="E83" s="40"/>
      <c r="F83" s="40">
        <v>2</v>
      </c>
      <c r="G83" s="41"/>
      <c r="H83" s="41"/>
      <c r="I83" s="42" t="s">
        <v>231</v>
      </c>
    </row>
    <row r="84" spans="1:9" x14ac:dyDescent="0.3">
      <c r="A84" s="38">
        <v>79</v>
      </c>
      <c r="B84" s="38">
        <v>20002514</v>
      </c>
      <c r="C84" s="39" t="s">
        <v>130</v>
      </c>
      <c r="D84" s="39" t="s">
        <v>131</v>
      </c>
      <c r="E84" s="40"/>
      <c r="F84" s="40">
        <v>2</v>
      </c>
      <c r="G84" s="41"/>
      <c r="H84" s="41"/>
      <c r="I84" s="42" t="s">
        <v>232</v>
      </c>
    </row>
    <row r="85" spans="1:9" x14ac:dyDescent="0.3">
      <c r="A85" s="38">
        <v>80</v>
      </c>
      <c r="B85" s="38">
        <v>20007709</v>
      </c>
      <c r="C85" s="39" t="s">
        <v>169</v>
      </c>
      <c r="D85" s="39" t="s">
        <v>169</v>
      </c>
      <c r="E85" s="40"/>
      <c r="F85" s="40">
        <v>2</v>
      </c>
      <c r="G85" s="41"/>
      <c r="H85" s="41"/>
      <c r="I85" s="42" t="s">
        <v>35</v>
      </c>
    </row>
    <row r="86" spans="1:9" x14ac:dyDescent="0.3">
      <c r="A86" s="38">
        <v>81</v>
      </c>
      <c r="B86" s="38">
        <v>20000595</v>
      </c>
      <c r="C86" s="39" t="s">
        <v>139</v>
      </c>
      <c r="D86" s="39" t="s">
        <v>140</v>
      </c>
      <c r="E86" s="40"/>
      <c r="F86" s="40">
        <v>3</v>
      </c>
      <c r="G86" s="41"/>
      <c r="H86" s="41"/>
      <c r="I86" s="42" t="s">
        <v>233</v>
      </c>
    </row>
    <row r="87" spans="1:9" x14ac:dyDescent="0.3">
      <c r="A87" s="38">
        <v>82</v>
      </c>
      <c r="B87" s="38">
        <v>20000606</v>
      </c>
      <c r="C87" s="39" t="s">
        <v>141</v>
      </c>
      <c r="D87" s="39" t="s">
        <v>142</v>
      </c>
      <c r="E87" s="40"/>
      <c r="F87" s="40">
        <v>4</v>
      </c>
      <c r="G87" s="41"/>
      <c r="H87" s="41"/>
      <c r="I87" s="42" t="s">
        <v>234</v>
      </c>
    </row>
    <row r="88" spans="1:9" x14ac:dyDescent="0.3">
      <c r="A88" s="38">
        <v>83</v>
      </c>
      <c r="B88" s="38">
        <v>20000621</v>
      </c>
      <c r="C88" s="39" t="s">
        <v>143</v>
      </c>
      <c r="D88" s="39" t="s">
        <v>144</v>
      </c>
      <c r="E88" s="40"/>
      <c r="F88" s="40">
        <v>3</v>
      </c>
      <c r="G88" s="41"/>
      <c r="H88" s="41"/>
      <c r="I88" s="42" t="s">
        <v>235</v>
      </c>
    </row>
    <row r="89" spans="1:9" x14ac:dyDescent="0.3">
      <c r="A89" s="38">
        <v>84</v>
      </c>
      <c r="B89" s="38">
        <v>20006381</v>
      </c>
      <c r="C89" s="39" t="s">
        <v>145</v>
      </c>
      <c r="D89" s="39" t="s">
        <v>146</v>
      </c>
      <c r="E89" s="40"/>
      <c r="F89" s="40">
        <v>2</v>
      </c>
      <c r="G89" s="41"/>
      <c r="H89" s="41"/>
      <c r="I89" s="42" t="s">
        <v>236</v>
      </c>
    </row>
    <row r="90" spans="1:9" x14ac:dyDescent="0.3">
      <c r="A90" s="38">
        <v>85</v>
      </c>
      <c r="B90" s="38">
        <v>20006386</v>
      </c>
      <c r="C90" s="39" t="s">
        <v>149</v>
      </c>
      <c r="D90" s="39" t="s">
        <v>367</v>
      </c>
      <c r="E90" s="40"/>
      <c r="F90" s="40">
        <v>3</v>
      </c>
      <c r="G90" s="41"/>
      <c r="H90" s="41"/>
      <c r="I90" s="42" t="s">
        <v>331</v>
      </c>
    </row>
    <row r="91" spans="1:9" x14ac:dyDescent="0.3">
      <c r="A91" s="38">
        <v>86</v>
      </c>
      <c r="B91" s="38">
        <v>20003607</v>
      </c>
      <c r="C91" s="39" t="s">
        <v>151</v>
      </c>
      <c r="D91" s="39" t="s">
        <v>150</v>
      </c>
      <c r="E91" s="40"/>
      <c r="F91" s="40">
        <v>2</v>
      </c>
      <c r="G91" s="41"/>
      <c r="H91" s="41"/>
      <c r="I91" s="42" t="s">
        <v>36</v>
      </c>
    </row>
    <row r="92" spans="1:9" x14ac:dyDescent="0.3">
      <c r="A92" s="38">
        <v>87</v>
      </c>
      <c r="B92" s="38">
        <v>20007716</v>
      </c>
      <c r="C92" s="39" t="s">
        <v>152</v>
      </c>
      <c r="D92" s="39" t="s">
        <v>150</v>
      </c>
      <c r="E92" s="40"/>
      <c r="F92" s="40">
        <v>1</v>
      </c>
      <c r="G92" s="41"/>
      <c r="H92" s="41"/>
      <c r="I92" s="42" t="s">
        <v>37</v>
      </c>
    </row>
    <row r="93" spans="1:9" x14ac:dyDescent="0.3">
      <c r="A93" s="38">
        <v>88</v>
      </c>
      <c r="B93" s="38">
        <v>20007721</v>
      </c>
      <c r="C93" s="39" t="s">
        <v>153</v>
      </c>
      <c r="D93" s="39"/>
      <c r="E93" s="40"/>
      <c r="F93" s="40">
        <v>1</v>
      </c>
      <c r="G93" s="41"/>
      <c r="H93" s="41"/>
      <c r="I93" s="42" t="s">
        <v>38</v>
      </c>
    </row>
    <row r="94" spans="1:9" x14ac:dyDescent="0.3">
      <c r="A94" s="38">
        <v>89</v>
      </c>
      <c r="B94" s="38">
        <v>20000596</v>
      </c>
      <c r="C94" s="39" t="s">
        <v>154</v>
      </c>
      <c r="D94" s="39" t="s">
        <v>155</v>
      </c>
      <c r="E94" s="40"/>
      <c r="F94" s="40">
        <v>1</v>
      </c>
      <c r="G94" s="41"/>
      <c r="H94" s="41"/>
      <c r="I94" s="42" t="s">
        <v>39</v>
      </c>
    </row>
    <row r="95" spans="1:9" x14ac:dyDescent="0.3">
      <c r="A95" s="38">
        <v>90</v>
      </c>
      <c r="B95" s="38">
        <v>20007722</v>
      </c>
      <c r="C95" s="39" t="s">
        <v>156</v>
      </c>
      <c r="D95" s="39"/>
      <c r="E95" s="40"/>
      <c r="F95" s="40">
        <v>1</v>
      </c>
      <c r="G95" s="41"/>
      <c r="H95" s="41"/>
      <c r="I95" s="42" t="s">
        <v>40</v>
      </c>
    </row>
    <row r="96" spans="1:9" x14ac:dyDescent="0.3">
      <c r="A96" s="38">
        <v>91</v>
      </c>
      <c r="B96" s="38">
        <v>20008550</v>
      </c>
      <c r="C96" s="39" t="s">
        <v>237</v>
      </c>
      <c r="D96" s="39"/>
      <c r="E96" s="40"/>
      <c r="F96" s="40">
        <v>2</v>
      </c>
      <c r="G96" s="41"/>
      <c r="H96" s="41"/>
      <c r="I96" s="42" t="s">
        <v>238</v>
      </c>
    </row>
    <row r="97" spans="1:9" x14ac:dyDescent="0.3">
      <c r="A97" s="38">
        <v>92</v>
      </c>
      <c r="B97" s="38">
        <v>20000566</v>
      </c>
      <c r="C97" s="39" t="s">
        <v>157</v>
      </c>
      <c r="D97" s="39" t="s">
        <v>158</v>
      </c>
      <c r="E97" s="40"/>
      <c r="F97" s="40">
        <v>2</v>
      </c>
      <c r="G97" s="41"/>
      <c r="H97" s="41"/>
      <c r="I97" s="42" t="s">
        <v>239</v>
      </c>
    </row>
    <row r="98" spans="1:9" x14ac:dyDescent="0.3">
      <c r="A98" s="38">
        <v>93</v>
      </c>
      <c r="B98" s="38">
        <v>20001765</v>
      </c>
      <c r="C98" s="44" t="s">
        <v>266</v>
      </c>
      <c r="D98" s="39" t="s">
        <v>267</v>
      </c>
      <c r="E98" s="40"/>
      <c r="F98" s="40">
        <v>1</v>
      </c>
      <c r="G98" s="41"/>
      <c r="H98" s="41"/>
      <c r="I98" s="45" t="s">
        <v>328</v>
      </c>
    </row>
    <row r="99" spans="1:9" x14ac:dyDescent="0.3">
      <c r="A99" s="38">
        <v>94</v>
      </c>
      <c r="B99" s="38">
        <v>20000597</v>
      </c>
      <c r="C99" s="39" t="s">
        <v>368</v>
      </c>
      <c r="D99" s="39" t="s">
        <v>311</v>
      </c>
      <c r="E99" s="40"/>
      <c r="F99" s="40">
        <v>1</v>
      </c>
      <c r="G99" s="41"/>
      <c r="H99" s="41"/>
      <c r="I99" s="46" t="s">
        <v>240</v>
      </c>
    </row>
    <row r="100" spans="1:9" x14ac:dyDescent="0.3">
      <c r="A100" s="38">
        <v>95</v>
      </c>
      <c r="B100" s="38">
        <v>20002403</v>
      </c>
      <c r="C100" s="39" t="s">
        <v>253</v>
      </c>
      <c r="D100" s="39" t="s">
        <v>271</v>
      </c>
      <c r="E100" s="40"/>
      <c r="F100" s="40">
        <v>1</v>
      </c>
      <c r="G100" s="41"/>
      <c r="H100" s="41"/>
      <c r="I100" s="46" t="s">
        <v>243</v>
      </c>
    </row>
    <row r="101" spans="1:9" x14ac:dyDescent="0.3">
      <c r="A101" s="38">
        <v>96</v>
      </c>
      <c r="B101" s="38">
        <v>20008552</v>
      </c>
      <c r="C101" s="39" t="s">
        <v>254</v>
      </c>
      <c r="D101" s="39"/>
      <c r="E101" s="40"/>
      <c r="F101" s="40">
        <v>1</v>
      </c>
      <c r="G101" s="41"/>
      <c r="H101" s="41"/>
      <c r="I101" s="46" t="s">
        <v>244</v>
      </c>
    </row>
    <row r="102" spans="1:9" x14ac:dyDescent="0.3">
      <c r="A102" s="38">
        <v>97</v>
      </c>
      <c r="B102" s="38">
        <v>20006075</v>
      </c>
      <c r="C102" s="39" t="s">
        <v>296</v>
      </c>
      <c r="D102" s="39" t="s">
        <v>303</v>
      </c>
      <c r="E102" s="40"/>
      <c r="F102" s="40">
        <v>1</v>
      </c>
      <c r="G102" s="41"/>
      <c r="H102" s="41"/>
      <c r="I102" s="46" t="s">
        <v>245</v>
      </c>
    </row>
    <row r="103" spans="1:9" x14ac:dyDescent="0.3">
      <c r="A103" s="38">
        <v>98</v>
      </c>
      <c r="B103" s="38">
        <v>20002740</v>
      </c>
      <c r="C103" s="39" t="s">
        <v>323</v>
      </c>
      <c r="D103" s="39" t="s">
        <v>324</v>
      </c>
      <c r="E103" s="40"/>
      <c r="F103" s="40">
        <v>1</v>
      </c>
      <c r="G103" s="41"/>
      <c r="H103" s="41"/>
      <c r="I103" s="46" t="s">
        <v>246</v>
      </c>
    </row>
    <row r="104" spans="1:9" x14ac:dyDescent="0.3">
      <c r="A104" s="38">
        <v>99</v>
      </c>
      <c r="B104" s="38">
        <v>20007719</v>
      </c>
      <c r="C104" s="39" t="s">
        <v>252</v>
      </c>
      <c r="D104" s="39" t="s">
        <v>272</v>
      </c>
      <c r="E104" s="40"/>
      <c r="F104" s="40">
        <v>1</v>
      </c>
      <c r="G104" s="41"/>
      <c r="H104" s="41"/>
      <c r="I104" s="46" t="s">
        <v>247</v>
      </c>
    </row>
    <row r="105" spans="1:9" x14ac:dyDescent="0.3">
      <c r="A105" s="38">
        <v>100</v>
      </c>
      <c r="B105" s="38">
        <v>20000607</v>
      </c>
      <c r="C105" s="39" t="s">
        <v>273</v>
      </c>
      <c r="D105" s="39" t="s">
        <v>274</v>
      </c>
      <c r="E105" s="40"/>
      <c r="F105" s="40">
        <v>1</v>
      </c>
      <c r="G105" s="41"/>
      <c r="H105" s="41"/>
      <c r="I105" s="46" t="s">
        <v>248</v>
      </c>
    </row>
    <row r="106" spans="1:9" x14ac:dyDescent="0.3">
      <c r="A106" s="38">
        <v>101</v>
      </c>
      <c r="B106" s="38">
        <v>20002291</v>
      </c>
      <c r="C106" s="39" t="s">
        <v>275</v>
      </c>
      <c r="D106" s="39" t="s">
        <v>276</v>
      </c>
      <c r="E106" s="40"/>
      <c r="F106" s="40">
        <v>1</v>
      </c>
      <c r="G106" s="41"/>
      <c r="H106" s="41"/>
      <c r="I106" s="46" t="s">
        <v>249</v>
      </c>
    </row>
    <row r="107" spans="1:9" x14ac:dyDescent="0.3">
      <c r="A107" s="38">
        <v>102</v>
      </c>
      <c r="B107" s="38">
        <v>20000633</v>
      </c>
      <c r="C107" s="39" t="s">
        <v>401</v>
      </c>
      <c r="D107" s="39" t="s">
        <v>402</v>
      </c>
      <c r="E107" s="40"/>
      <c r="F107" s="40">
        <v>1</v>
      </c>
      <c r="G107" s="41"/>
      <c r="H107" s="41"/>
      <c r="I107" s="42" t="s">
        <v>250</v>
      </c>
    </row>
    <row r="108" spans="1:9" x14ac:dyDescent="0.3">
      <c r="A108" s="38">
        <v>103</v>
      </c>
      <c r="B108" s="38">
        <v>20004986</v>
      </c>
      <c r="C108" s="39" t="s">
        <v>403</v>
      </c>
      <c r="D108" s="39" t="s">
        <v>326</v>
      </c>
      <c r="E108" s="40"/>
      <c r="F108" s="40">
        <v>3</v>
      </c>
      <c r="G108" s="41"/>
      <c r="H108" s="41"/>
      <c r="I108" s="42" t="s">
        <v>392</v>
      </c>
    </row>
    <row r="109" spans="1:9" x14ac:dyDescent="0.3">
      <c r="A109" s="38">
        <v>104</v>
      </c>
      <c r="B109" s="38">
        <v>20007172</v>
      </c>
      <c r="C109" s="39" t="s">
        <v>404</v>
      </c>
      <c r="D109" s="39" t="s">
        <v>405</v>
      </c>
      <c r="E109" s="40"/>
      <c r="F109" s="40">
        <v>2</v>
      </c>
      <c r="G109" s="41"/>
      <c r="H109" s="41"/>
      <c r="I109" s="42" t="s">
        <v>41</v>
      </c>
    </row>
    <row r="110" spans="1:9" x14ac:dyDescent="0.3">
      <c r="A110" s="38">
        <v>105</v>
      </c>
      <c r="B110" s="38">
        <v>20005834</v>
      </c>
      <c r="C110" s="39" t="s">
        <v>406</v>
      </c>
      <c r="D110" s="39" t="s">
        <v>407</v>
      </c>
      <c r="E110" s="40"/>
      <c r="F110" s="40">
        <v>1</v>
      </c>
      <c r="G110" s="41"/>
      <c r="H110" s="41"/>
      <c r="I110" s="42" t="s">
        <v>42</v>
      </c>
    </row>
    <row r="111" spans="1:9" x14ac:dyDescent="0.3">
      <c r="A111" s="38">
        <v>106</v>
      </c>
      <c r="B111" s="38">
        <v>20006405</v>
      </c>
      <c r="C111" s="39" t="s">
        <v>408</v>
      </c>
      <c r="D111" s="39" t="s">
        <v>409</v>
      </c>
      <c r="E111" s="40"/>
      <c r="F111" s="40">
        <v>1</v>
      </c>
      <c r="G111" s="41"/>
      <c r="H111" s="41"/>
      <c r="I111" s="42" t="s">
        <v>43</v>
      </c>
    </row>
    <row r="112" spans="1:9" x14ac:dyDescent="0.3">
      <c r="A112" s="38">
        <v>107</v>
      </c>
      <c r="B112" s="38">
        <v>20006174</v>
      </c>
      <c r="C112" s="39" t="s">
        <v>163</v>
      </c>
      <c r="D112" s="39" t="s">
        <v>134</v>
      </c>
      <c r="E112" s="40"/>
      <c r="F112" s="40">
        <v>1</v>
      </c>
      <c r="G112" s="41"/>
      <c r="H112" s="41"/>
      <c r="I112" s="42" t="s">
        <v>44</v>
      </c>
    </row>
    <row r="113" spans="1:9" x14ac:dyDescent="0.3">
      <c r="A113" s="38">
        <v>108</v>
      </c>
      <c r="B113" s="38">
        <v>20006407</v>
      </c>
      <c r="C113" s="39" t="s">
        <v>255</v>
      </c>
      <c r="D113" s="39" t="s">
        <v>410</v>
      </c>
      <c r="E113" s="40"/>
      <c r="F113" s="40">
        <v>1</v>
      </c>
      <c r="G113" s="41"/>
      <c r="H113" s="41"/>
      <c r="I113" s="42" t="s">
        <v>45</v>
      </c>
    </row>
    <row r="114" spans="1:9" x14ac:dyDescent="0.3">
      <c r="A114" s="38">
        <v>109</v>
      </c>
      <c r="B114" s="38">
        <v>20006398</v>
      </c>
      <c r="C114" s="39" t="s">
        <v>135</v>
      </c>
      <c r="D114" s="39" t="s">
        <v>136</v>
      </c>
      <c r="E114" s="40"/>
      <c r="F114" s="40">
        <v>2</v>
      </c>
      <c r="G114" s="41"/>
      <c r="H114" s="41"/>
      <c r="I114" s="42" t="s">
        <v>393</v>
      </c>
    </row>
    <row r="115" spans="1:9" x14ac:dyDescent="0.3">
      <c r="A115" s="38">
        <v>110</v>
      </c>
      <c r="B115" s="38">
        <v>20007161</v>
      </c>
      <c r="C115" s="39" t="s">
        <v>137</v>
      </c>
      <c r="D115" s="39" t="s">
        <v>137</v>
      </c>
      <c r="E115" s="40"/>
      <c r="F115" s="40">
        <v>2</v>
      </c>
      <c r="G115" s="41"/>
      <c r="H115" s="41"/>
      <c r="I115" s="42" t="s">
        <v>46</v>
      </c>
    </row>
    <row r="116" spans="1:9" x14ac:dyDescent="0.3">
      <c r="A116" s="38">
        <v>111</v>
      </c>
      <c r="B116" s="38">
        <v>20006612</v>
      </c>
      <c r="C116" s="39" t="s">
        <v>369</v>
      </c>
      <c r="D116" s="39" t="s">
        <v>175</v>
      </c>
      <c r="E116" s="40"/>
      <c r="F116" s="40">
        <v>1</v>
      </c>
      <c r="G116" s="41"/>
      <c r="H116" s="41"/>
      <c r="I116" s="42" t="s">
        <v>47</v>
      </c>
    </row>
    <row r="117" spans="1:9" x14ac:dyDescent="0.3">
      <c r="A117" s="38">
        <v>112</v>
      </c>
      <c r="B117" s="38">
        <v>20007733</v>
      </c>
      <c r="C117" s="39" t="s">
        <v>174</v>
      </c>
      <c r="D117" s="39" t="s">
        <v>297</v>
      </c>
      <c r="E117" s="40"/>
      <c r="F117" s="40">
        <v>1</v>
      </c>
      <c r="G117" s="41"/>
      <c r="H117" s="41"/>
      <c r="I117" s="42" t="s">
        <v>48</v>
      </c>
    </row>
    <row r="118" spans="1:9" x14ac:dyDescent="0.3">
      <c r="A118" s="38">
        <v>113</v>
      </c>
      <c r="B118" s="38">
        <v>20000464</v>
      </c>
      <c r="C118" s="39" t="s">
        <v>336</v>
      </c>
      <c r="D118" s="39" t="s">
        <v>335</v>
      </c>
      <c r="E118" s="40"/>
      <c r="F118" s="40">
        <v>1</v>
      </c>
      <c r="G118" s="41"/>
      <c r="H118" s="41"/>
      <c r="I118" s="42" t="s">
        <v>258</v>
      </c>
    </row>
    <row r="119" spans="1:9" x14ac:dyDescent="0.3">
      <c r="A119" s="38">
        <v>114</v>
      </c>
      <c r="B119" s="38">
        <v>20008553</v>
      </c>
      <c r="C119" s="44" t="s">
        <v>332</v>
      </c>
      <c r="D119" s="47" t="s">
        <v>304</v>
      </c>
      <c r="E119" s="40"/>
      <c r="F119" s="40">
        <v>1</v>
      </c>
      <c r="G119" s="41"/>
      <c r="H119" s="41"/>
      <c r="I119" s="42" t="s">
        <v>259</v>
      </c>
    </row>
    <row r="120" spans="1:9" x14ac:dyDescent="0.3">
      <c r="A120" s="38">
        <v>115</v>
      </c>
      <c r="B120" s="38">
        <v>20007732</v>
      </c>
      <c r="C120" s="39" t="s">
        <v>256</v>
      </c>
      <c r="D120" s="39" t="s">
        <v>264</v>
      </c>
      <c r="E120" s="40"/>
      <c r="F120" s="40">
        <v>1</v>
      </c>
      <c r="G120" s="41"/>
      <c r="H120" s="41"/>
      <c r="I120" s="42" t="s">
        <v>260</v>
      </c>
    </row>
    <row r="121" spans="1:9" x14ac:dyDescent="0.3">
      <c r="A121" s="38">
        <v>116</v>
      </c>
      <c r="B121" s="38">
        <v>20007731</v>
      </c>
      <c r="C121" s="39" t="s">
        <v>257</v>
      </c>
      <c r="D121" s="39" t="s">
        <v>265</v>
      </c>
      <c r="E121" s="40"/>
      <c r="F121" s="40">
        <v>1</v>
      </c>
      <c r="G121" s="41"/>
      <c r="H121" s="41"/>
      <c r="I121" s="42" t="s">
        <v>261</v>
      </c>
    </row>
    <row r="122" spans="1:9" x14ac:dyDescent="0.3">
      <c r="A122" s="38">
        <v>117</v>
      </c>
      <c r="B122" s="38">
        <v>20008554</v>
      </c>
      <c r="C122" s="39" t="s">
        <v>341</v>
      </c>
      <c r="D122" s="39"/>
      <c r="E122" s="40"/>
      <c r="F122" s="40">
        <v>1</v>
      </c>
      <c r="G122" s="41"/>
      <c r="H122" s="41"/>
      <c r="I122" s="42" t="s">
        <v>262</v>
      </c>
    </row>
    <row r="123" spans="1:9" x14ac:dyDescent="0.3">
      <c r="A123" s="38">
        <v>118</v>
      </c>
      <c r="B123" s="1">
        <v>20007725</v>
      </c>
      <c r="C123" s="2" t="s">
        <v>165</v>
      </c>
      <c r="D123" s="2" t="s">
        <v>138</v>
      </c>
      <c r="E123" s="4"/>
      <c r="F123" s="4">
        <v>1</v>
      </c>
      <c r="G123" s="36"/>
      <c r="H123" s="36"/>
      <c r="I123" s="37" t="s">
        <v>263</v>
      </c>
    </row>
    <row r="124" spans="1:9" x14ac:dyDescent="0.3">
      <c r="A124" s="38">
        <v>119</v>
      </c>
      <c r="B124" s="38">
        <v>20001716</v>
      </c>
      <c r="C124" s="39" t="s">
        <v>372</v>
      </c>
      <c r="D124" s="39" t="s">
        <v>373</v>
      </c>
      <c r="E124" s="40"/>
      <c r="F124" s="40">
        <v>1</v>
      </c>
      <c r="G124" s="41"/>
      <c r="H124" s="41"/>
      <c r="I124" s="42" t="s">
        <v>375</v>
      </c>
    </row>
    <row r="125" spans="1:9" x14ac:dyDescent="0.3">
      <c r="A125" s="38">
        <v>120</v>
      </c>
      <c r="B125" s="38">
        <v>20008911</v>
      </c>
      <c r="C125" s="39" t="s">
        <v>376</v>
      </c>
      <c r="D125" s="39" t="s">
        <v>377</v>
      </c>
      <c r="E125" s="40"/>
      <c r="F125" s="40">
        <v>2</v>
      </c>
      <c r="G125" s="41"/>
      <c r="H125" s="41"/>
      <c r="I125" s="42" t="s">
        <v>384</v>
      </c>
    </row>
    <row r="126" spans="1:9" x14ac:dyDescent="0.3">
      <c r="A126" s="38">
        <v>121</v>
      </c>
      <c r="B126" s="38">
        <v>20008557</v>
      </c>
      <c r="C126" s="39" t="s">
        <v>378</v>
      </c>
      <c r="D126" s="39"/>
      <c r="E126" s="40"/>
      <c r="F126" s="40">
        <v>8</v>
      </c>
      <c r="G126" s="41"/>
      <c r="H126" s="41"/>
      <c r="I126" s="42" t="s">
        <v>382</v>
      </c>
    </row>
    <row r="127" spans="1:9" x14ac:dyDescent="0.3">
      <c r="A127" s="38">
        <v>122</v>
      </c>
      <c r="B127" s="38">
        <v>20007199</v>
      </c>
      <c r="C127" s="39" t="s">
        <v>386</v>
      </c>
      <c r="D127" s="39" t="s">
        <v>390</v>
      </c>
      <c r="E127" s="40"/>
      <c r="F127" s="40">
        <v>2</v>
      </c>
      <c r="G127" s="41"/>
      <c r="H127" s="41"/>
      <c r="I127" s="42" t="s">
        <v>388</v>
      </c>
    </row>
    <row r="128" spans="1:9" x14ac:dyDescent="0.3">
      <c r="A128" s="38">
        <v>123</v>
      </c>
      <c r="B128" s="38">
        <v>20009312</v>
      </c>
      <c r="C128" s="39" t="s">
        <v>387</v>
      </c>
      <c r="D128" s="39" t="s">
        <v>391</v>
      </c>
      <c r="E128" s="40"/>
      <c r="F128" s="40">
        <v>2</v>
      </c>
      <c r="G128" s="41"/>
      <c r="H128" s="41"/>
      <c r="I128" s="42" t="s">
        <v>389</v>
      </c>
    </row>
    <row r="131" spans="1:8" ht="17.25" thickBot="1" x14ac:dyDescent="0.35">
      <c r="A131" s="57" t="s">
        <v>440</v>
      </c>
      <c r="B131" s="58"/>
      <c r="C131" s="58"/>
      <c r="D131" s="58"/>
      <c r="E131" s="58"/>
      <c r="F131" s="58"/>
      <c r="G131" s="58"/>
      <c r="H131" s="58"/>
    </row>
    <row r="132" spans="1:8" x14ac:dyDescent="0.3">
      <c r="A132" s="120" t="s">
        <v>441</v>
      </c>
      <c r="B132" s="111" t="s">
        <v>442</v>
      </c>
      <c r="C132" s="123" t="s">
        <v>443</v>
      </c>
      <c r="D132" s="123" t="s">
        <v>444</v>
      </c>
      <c r="E132" s="111" t="s">
        <v>420</v>
      </c>
      <c r="F132" s="111"/>
      <c r="G132" s="111"/>
      <c r="H132" s="104" t="s">
        <v>421</v>
      </c>
    </row>
    <row r="133" spans="1:8" ht="27" x14ac:dyDescent="0.3">
      <c r="A133" s="121"/>
      <c r="B133" s="122"/>
      <c r="C133" s="124"/>
      <c r="D133" s="124"/>
      <c r="E133" s="59" t="s">
        <v>445</v>
      </c>
      <c r="F133" s="59" t="s">
        <v>422</v>
      </c>
      <c r="G133" s="59" t="s">
        <v>423</v>
      </c>
      <c r="H133" s="105"/>
    </row>
    <row r="134" spans="1:8" x14ac:dyDescent="0.3">
      <c r="A134" s="55" t="s">
        <v>432</v>
      </c>
      <c r="B134" s="60" t="s">
        <v>449</v>
      </c>
      <c r="C134" s="61" t="s">
        <v>424</v>
      </c>
      <c r="D134" s="62"/>
      <c r="E134" s="56" t="s">
        <v>425</v>
      </c>
      <c r="F134" s="62"/>
      <c r="G134" s="62"/>
      <c r="H134" s="63" t="s">
        <v>450</v>
      </c>
    </row>
    <row r="135" spans="1:8" ht="27" x14ac:dyDescent="0.3">
      <c r="A135" s="64" t="s">
        <v>453</v>
      </c>
      <c r="B135" s="61" t="s">
        <v>454</v>
      </c>
      <c r="C135" s="61" t="s">
        <v>455</v>
      </c>
      <c r="D135" s="103" t="s">
        <v>461</v>
      </c>
      <c r="E135" s="56"/>
      <c r="F135" s="66" t="s">
        <v>457</v>
      </c>
      <c r="G135" s="67"/>
      <c r="H135" s="63"/>
    </row>
    <row r="136" spans="1:8" x14ac:dyDescent="0.3">
      <c r="A136" s="64"/>
      <c r="B136" s="61"/>
      <c r="C136" s="61"/>
      <c r="D136" s="65"/>
      <c r="E136" s="56"/>
      <c r="F136" s="66"/>
      <c r="G136" s="67"/>
      <c r="H136" s="63"/>
    </row>
    <row r="137" spans="1:8" x14ac:dyDescent="0.3">
      <c r="A137" s="68"/>
      <c r="B137" s="69"/>
      <c r="C137" s="70"/>
      <c r="D137" s="71"/>
      <c r="E137" s="72"/>
      <c r="F137" s="73"/>
      <c r="G137" s="74"/>
      <c r="H137" s="75"/>
    </row>
    <row r="138" spans="1:8" ht="17.25" thickBot="1" x14ac:dyDescent="0.35">
      <c r="A138" s="76"/>
      <c r="B138" s="77"/>
      <c r="C138" s="77"/>
      <c r="D138" s="77"/>
      <c r="E138" s="77"/>
      <c r="F138" s="77"/>
      <c r="G138" s="77"/>
      <c r="H138" s="78"/>
    </row>
  </sheetData>
  <mergeCells count="11">
    <mergeCell ref="H132:H133"/>
    <mergeCell ref="A1:E2"/>
    <mergeCell ref="A3:B3"/>
    <mergeCell ref="E3:H3"/>
    <mergeCell ref="A4:B4"/>
    <mergeCell ref="E4:H4"/>
    <mergeCell ref="A132:A133"/>
    <mergeCell ref="B132:B133"/>
    <mergeCell ref="C132:C133"/>
    <mergeCell ref="D132:D133"/>
    <mergeCell ref="E132:G132"/>
  </mergeCells>
  <phoneticPr fontId="18" type="noConversion"/>
  <pageMargins left="0.7" right="0.7" top="0.75" bottom="0.75" header="0.3" footer="0.3"/>
  <pageSetup paperSize="9" orientation="portrait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topLeftCell="A121" zoomScale="130" zoomScaleNormal="130" workbookViewId="0">
      <selection activeCell="A6" sqref="A6:I128"/>
    </sheetView>
  </sheetViews>
  <sheetFormatPr defaultRowHeight="16.5" x14ac:dyDescent="0.3"/>
  <cols>
    <col min="3" max="3" width="33.25" bestFit="1" customWidth="1"/>
    <col min="4" max="4" width="50.875" bestFit="1" customWidth="1"/>
    <col min="5" max="5" width="4.875" bestFit="1" customWidth="1"/>
  </cols>
  <sheetData>
    <row r="1" spans="1:9" x14ac:dyDescent="0.3">
      <c r="A1" s="125" t="s">
        <v>344</v>
      </c>
      <c r="B1" s="125"/>
      <c r="C1" s="125"/>
      <c r="D1" s="125"/>
      <c r="E1" s="125"/>
      <c r="F1" s="31" t="s">
        <v>345</v>
      </c>
      <c r="G1" s="32" t="s">
        <v>346</v>
      </c>
      <c r="H1" s="32" t="s">
        <v>347</v>
      </c>
    </row>
    <row r="2" spans="1:9" x14ac:dyDescent="0.3">
      <c r="A2" s="125"/>
      <c r="B2" s="125"/>
      <c r="C2" s="125"/>
      <c r="D2" s="125"/>
      <c r="E2" s="125"/>
      <c r="F2" s="33" t="s">
        <v>374</v>
      </c>
      <c r="G2" s="33" t="s">
        <v>414</v>
      </c>
      <c r="H2" s="33" t="s">
        <v>413</v>
      </c>
    </row>
    <row r="3" spans="1:9" x14ac:dyDescent="0.3">
      <c r="A3" s="126" t="s">
        <v>348</v>
      </c>
      <c r="B3" s="122"/>
      <c r="C3" s="34">
        <v>20008824</v>
      </c>
      <c r="D3" s="32" t="s">
        <v>349</v>
      </c>
      <c r="E3" s="127" t="s">
        <v>379</v>
      </c>
      <c r="F3" s="128"/>
      <c r="G3" s="128"/>
      <c r="H3" s="128"/>
    </row>
    <row r="4" spans="1:9" x14ac:dyDescent="0.3">
      <c r="A4" s="126" t="s">
        <v>350</v>
      </c>
      <c r="B4" s="122"/>
      <c r="C4" s="34" t="s">
        <v>419</v>
      </c>
      <c r="D4" s="32" t="s">
        <v>351</v>
      </c>
      <c r="E4" s="128" t="s">
        <v>417</v>
      </c>
      <c r="F4" s="128"/>
      <c r="G4" s="128"/>
      <c r="H4" s="128"/>
    </row>
    <row r="5" spans="1:9" ht="27" x14ac:dyDescent="0.3">
      <c r="A5" s="3" t="s">
        <v>352</v>
      </c>
      <c r="B5" s="3" t="s">
        <v>348</v>
      </c>
      <c r="C5" s="3" t="s">
        <v>353</v>
      </c>
      <c r="D5" s="3" t="s">
        <v>354</v>
      </c>
      <c r="E5" s="3" t="s">
        <v>355</v>
      </c>
      <c r="F5" s="35" t="s">
        <v>356</v>
      </c>
      <c r="G5" s="3" t="s">
        <v>357</v>
      </c>
      <c r="H5" s="3" t="s">
        <v>358</v>
      </c>
    </row>
    <row r="6" spans="1:9" x14ac:dyDescent="0.3">
      <c r="A6" s="38">
        <v>1</v>
      </c>
      <c r="B6" s="38">
        <v>20006335</v>
      </c>
      <c r="C6" s="39" t="s">
        <v>49</v>
      </c>
      <c r="D6" s="39" t="s">
        <v>50</v>
      </c>
      <c r="E6" s="40"/>
      <c r="F6" s="40">
        <v>10</v>
      </c>
      <c r="G6" s="41"/>
      <c r="H6" s="41"/>
      <c r="I6" s="42" t="s">
        <v>183</v>
      </c>
    </row>
    <row r="7" spans="1:9" x14ac:dyDescent="0.3">
      <c r="A7" s="38">
        <v>2</v>
      </c>
      <c r="B7" s="38">
        <v>20000399</v>
      </c>
      <c r="C7" s="39" t="s">
        <v>167</v>
      </c>
      <c r="D7" s="39" t="s">
        <v>309</v>
      </c>
      <c r="E7" s="40"/>
      <c r="F7" s="40">
        <v>17</v>
      </c>
      <c r="G7" s="41"/>
      <c r="H7" s="41"/>
      <c r="I7" s="42" t="s">
        <v>308</v>
      </c>
    </row>
    <row r="8" spans="1:9" x14ac:dyDescent="0.3">
      <c r="A8" s="38">
        <v>3</v>
      </c>
      <c r="B8" s="38">
        <v>20000415</v>
      </c>
      <c r="C8" s="39" t="s">
        <v>168</v>
      </c>
      <c r="D8" s="39" t="s">
        <v>56</v>
      </c>
      <c r="E8" s="40"/>
      <c r="F8" s="40">
        <v>7</v>
      </c>
      <c r="G8" s="41"/>
      <c r="H8" s="41"/>
      <c r="I8" s="42" t="s">
        <v>176</v>
      </c>
    </row>
    <row r="9" spans="1:9" x14ac:dyDescent="0.3">
      <c r="A9" s="38">
        <v>4</v>
      </c>
      <c r="B9" s="38">
        <v>20000403</v>
      </c>
      <c r="C9" s="39" t="s">
        <v>305</v>
      </c>
      <c r="D9" s="39" t="s">
        <v>306</v>
      </c>
      <c r="E9" s="40"/>
      <c r="F9" s="40">
        <v>4</v>
      </c>
      <c r="G9" s="41"/>
      <c r="H9" s="41"/>
      <c r="I9" s="42" t="s">
        <v>307</v>
      </c>
    </row>
    <row r="10" spans="1:9" x14ac:dyDescent="0.3">
      <c r="A10" s="38">
        <v>5</v>
      </c>
      <c r="B10" s="38">
        <v>20006444</v>
      </c>
      <c r="C10" s="39" t="s">
        <v>58</v>
      </c>
      <c r="D10" s="39" t="s">
        <v>59</v>
      </c>
      <c r="E10" s="40"/>
      <c r="F10" s="40">
        <v>11</v>
      </c>
      <c r="G10" s="41"/>
      <c r="H10" s="41"/>
      <c r="I10" s="42" t="s">
        <v>383</v>
      </c>
    </row>
    <row r="11" spans="1:9" x14ac:dyDescent="0.3">
      <c r="A11" s="38">
        <v>6</v>
      </c>
      <c r="B11" s="38">
        <v>20006347</v>
      </c>
      <c r="C11" s="39" t="s">
        <v>60</v>
      </c>
      <c r="D11" s="39" t="s">
        <v>61</v>
      </c>
      <c r="E11" s="40"/>
      <c r="F11" s="40">
        <v>2</v>
      </c>
      <c r="G11" s="41"/>
      <c r="H11" s="41"/>
      <c r="I11" s="42" t="s">
        <v>0</v>
      </c>
    </row>
    <row r="12" spans="1:9" x14ac:dyDescent="0.3">
      <c r="A12" s="38">
        <v>7</v>
      </c>
      <c r="B12" s="38">
        <v>20009268</v>
      </c>
      <c r="C12" s="39" t="s">
        <v>381</v>
      </c>
      <c r="D12" s="39" t="s">
        <v>380</v>
      </c>
      <c r="E12" s="40"/>
      <c r="F12" s="40">
        <v>4</v>
      </c>
      <c r="G12" s="41"/>
      <c r="H12" s="41"/>
      <c r="I12" s="42" t="s">
        <v>288</v>
      </c>
    </row>
    <row r="13" spans="1:9" x14ac:dyDescent="0.3">
      <c r="A13" s="38">
        <v>8</v>
      </c>
      <c r="B13" s="38">
        <v>20006334</v>
      </c>
      <c r="C13" s="39" t="s">
        <v>177</v>
      </c>
      <c r="D13" s="39" t="s">
        <v>359</v>
      </c>
      <c r="E13" s="40"/>
      <c r="F13" s="40">
        <v>10</v>
      </c>
      <c r="G13" s="41"/>
      <c r="H13" s="41"/>
      <c r="I13" s="42" t="s">
        <v>185</v>
      </c>
    </row>
    <row r="14" spans="1:9" x14ac:dyDescent="0.3">
      <c r="A14" s="38">
        <v>9</v>
      </c>
      <c r="B14" s="38">
        <v>20006333</v>
      </c>
      <c r="C14" s="39" t="s">
        <v>63</v>
      </c>
      <c r="D14" s="39" t="s">
        <v>64</v>
      </c>
      <c r="E14" s="40"/>
      <c r="F14" s="40">
        <v>14</v>
      </c>
      <c r="G14" s="41"/>
      <c r="H14" s="41"/>
      <c r="I14" s="42" t="s">
        <v>186</v>
      </c>
    </row>
    <row r="15" spans="1:9" x14ac:dyDescent="0.3">
      <c r="A15" s="38">
        <v>10</v>
      </c>
      <c r="B15" s="38">
        <v>20003659</v>
      </c>
      <c r="C15" s="39" t="s">
        <v>65</v>
      </c>
      <c r="D15" s="39" t="s">
        <v>66</v>
      </c>
      <c r="E15" s="40"/>
      <c r="F15" s="40">
        <v>8</v>
      </c>
      <c r="G15" s="41"/>
      <c r="H15" s="41"/>
      <c r="I15" s="42" t="s">
        <v>187</v>
      </c>
    </row>
    <row r="16" spans="1:9" ht="48" x14ac:dyDescent="0.3">
      <c r="A16" s="38">
        <v>11</v>
      </c>
      <c r="B16" s="38">
        <v>20008541</v>
      </c>
      <c r="C16" s="39" t="s">
        <v>290</v>
      </c>
      <c r="D16" s="39" t="s">
        <v>289</v>
      </c>
      <c r="E16" s="40"/>
      <c r="F16" s="40">
        <v>8</v>
      </c>
      <c r="G16" s="41"/>
      <c r="H16" s="41"/>
      <c r="I16" s="43" t="s">
        <v>385</v>
      </c>
    </row>
    <row r="17" spans="1:9" ht="84" x14ac:dyDescent="0.3">
      <c r="A17" s="38">
        <v>12</v>
      </c>
      <c r="B17" s="38">
        <v>20006463</v>
      </c>
      <c r="C17" s="39" t="s">
        <v>292</v>
      </c>
      <c r="D17" s="39" t="s">
        <v>293</v>
      </c>
      <c r="E17" s="40"/>
      <c r="F17" s="40">
        <v>14</v>
      </c>
      <c r="G17" s="41"/>
      <c r="H17" s="41"/>
      <c r="I17" s="43" t="s">
        <v>394</v>
      </c>
    </row>
    <row r="18" spans="1:9" x14ac:dyDescent="0.3">
      <c r="A18" s="38">
        <v>13</v>
      </c>
      <c r="B18" s="38">
        <v>20000421</v>
      </c>
      <c r="C18" s="39" t="s">
        <v>67</v>
      </c>
      <c r="D18" s="39" t="s">
        <v>55</v>
      </c>
      <c r="E18" s="40"/>
      <c r="F18" s="40">
        <v>2</v>
      </c>
      <c r="G18" s="41"/>
      <c r="H18" s="41"/>
      <c r="I18" s="42" t="s">
        <v>1</v>
      </c>
    </row>
    <row r="19" spans="1:9" x14ac:dyDescent="0.3">
      <c r="A19" s="38">
        <v>14</v>
      </c>
      <c r="B19" s="38">
        <v>20006072</v>
      </c>
      <c r="C19" s="39" t="s">
        <v>180</v>
      </c>
      <c r="D19" s="39" t="s">
        <v>181</v>
      </c>
      <c r="E19" s="40"/>
      <c r="F19" s="40">
        <v>1</v>
      </c>
      <c r="G19" s="41"/>
      <c r="H19" s="41"/>
      <c r="I19" s="42" t="s">
        <v>412</v>
      </c>
    </row>
    <row r="20" spans="1:9" x14ac:dyDescent="0.3">
      <c r="A20" s="11">
        <v>15</v>
      </c>
      <c r="B20" s="11">
        <v>20009350</v>
      </c>
      <c r="C20" s="13" t="s">
        <v>415</v>
      </c>
      <c r="D20" s="13" t="s">
        <v>416</v>
      </c>
      <c r="E20" s="5"/>
      <c r="F20" s="5">
        <v>1</v>
      </c>
      <c r="G20" s="48"/>
      <c r="H20" s="48"/>
      <c r="I20" s="49" t="s">
        <v>411</v>
      </c>
    </row>
    <row r="21" spans="1:9" x14ac:dyDescent="0.3">
      <c r="A21" s="38">
        <v>16</v>
      </c>
      <c r="B21" s="38">
        <v>20002526</v>
      </c>
      <c r="C21" s="39" t="s">
        <v>312</v>
      </c>
      <c r="D21" s="39"/>
      <c r="E21" s="40"/>
      <c r="F21" s="40">
        <v>2</v>
      </c>
      <c r="G21" s="41"/>
      <c r="H21" s="41"/>
      <c r="I21" s="42" t="s">
        <v>189</v>
      </c>
    </row>
    <row r="22" spans="1:9" x14ac:dyDescent="0.3">
      <c r="A22" s="38">
        <v>17</v>
      </c>
      <c r="B22" s="38">
        <v>20000402</v>
      </c>
      <c r="C22" s="39" t="s">
        <v>68</v>
      </c>
      <c r="D22" s="39" t="s">
        <v>57</v>
      </c>
      <c r="E22" s="40"/>
      <c r="F22" s="40">
        <v>4</v>
      </c>
      <c r="G22" s="41"/>
      <c r="H22" s="41"/>
      <c r="I22" s="42" t="s">
        <v>190</v>
      </c>
    </row>
    <row r="23" spans="1:9" x14ac:dyDescent="0.3">
      <c r="A23" s="38">
        <v>18</v>
      </c>
      <c r="B23" s="38">
        <v>20000449</v>
      </c>
      <c r="C23" s="39" t="s">
        <v>360</v>
      </c>
      <c r="D23" s="39" t="s">
        <v>70</v>
      </c>
      <c r="E23" s="40"/>
      <c r="F23" s="40">
        <v>1</v>
      </c>
      <c r="G23" s="41"/>
      <c r="H23" s="41"/>
      <c r="I23" s="42" t="s">
        <v>191</v>
      </c>
    </row>
    <row r="24" spans="1:9" x14ac:dyDescent="0.3">
      <c r="A24" s="38">
        <v>19</v>
      </c>
      <c r="B24" s="38">
        <v>20000445</v>
      </c>
      <c r="C24" s="39" t="s">
        <v>71</v>
      </c>
      <c r="D24" s="39" t="s">
        <v>72</v>
      </c>
      <c r="E24" s="40"/>
      <c r="F24" s="40">
        <v>1</v>
      </c>
      <c r="G24" s="41"/>
      <c r="H24" s="41"/>
      <c r="I24" s="42" t="s">
        <v>192</v>
      </c>
    </row>
    <row r="25" spans="1:9" x14ac:dyDescent="0.3">
      <c r="A25" s="38">
        <v>20</v>
      </c>
      <c r="B25" s="38">
        <v>20004609</v>
      </c>
      <c r="C25" s="39" t="s">
        <v>313</v>
      </c>
      <c r="D25" s="39" t="s">
        <v>314</v>
      </c>
      <c r="E25" s="40"/>
      <c r="F25" s="40">
        <v>1</v>
      </c>
      <c r="G25" s="41"/>
      <c r="H25" s="41"/>
      <c r="I25" s="42" t="s">
        <v>193</v>
      </c>
    </row>
    <row r="26" spans="1:9" x14ac:dyDescent="0.3">
      <c r="A26" s="38">
        <v>21</v>
      </c>
      <c r="B26" s="38">
        <v>20008542</v>
      </c>
      <c r="C26" s="39" t="s">
        <v>279</v>
      </c>
      <c r="D26" s="39"/>
      <c r="E26" s="40"/>
      <c r="F26" s="40">
        <v>1</v>
      </c>
      <c r="G26" s="41"/>
      <c r="H26" s="41"/>
      <c r="I26" s="42" t="s">
        <v>194</v>
      </c>
    </row>
    <row r="27" spans="1:9" x14ac:dyDescent="0.3">
      <c r="A27" s="38">
        <v>22</v>
      </c>
      <c r="B27" s="38">
        <v>20007177</v>
      </c>
      <c r="C27" s="39" t="s">
        <v>281</v>
      </c>
      <c r="D27" s="39" t="s">
        <v>280</v>
      </c>
      <c r="E27" s="40"/>
      <c r="F27" s="40">
        <v>1</v>
      </c>
      <c r="G27" s="41"/>
      <c r="H27" s="41"/>
      <c r="I27" s="42" t="s">
        <v>195</v>
      </c>
    </row>
    <row r="28" spans="1:9" x14ac:dyDescent="0.3">
      <c r="A28" s="38">
        <v>23</v>
      </c>
      <c r="B28" s="38">
        <v>20007682</v>
      </c>
      <c r="C28" s="39" t="s">
        <v>317</v>
      </c>
      <c r="D28" s="39" t="s">
        <v>318</v>
      </c>
      <c r="E28" s="40"/>
      <c r="F28" s="40">
        <v>1</v>
      </c>
      <c r="G28" s="41"/>
      <c r="H28" s="41"/>
      <c r="I28" s="42" t="s">
        <v>196</v>
      </c>
    </row>
    <row r="29" spans="1:9" x14ac:dyDescent="0.3">
      <c r="A29" s="38">
        <v>24</v>
      </c>
      <c r="B29" s="38">
        <v>20006723</v>
      </c>
      <c r="C29" s="39" t="s">
        <v>73</v>
      </c>
      <c r="D29" s="39" t="s">
        <v>55</v>
      </c>
      <c r="E29" s="40"/>
      <c r="F29" s="40">
        <v>1</v>
      </c>
      <c r="G29" s="41"/>
      <c r="H29" s="41"/>
      <c r="I29" s="42" t="s">
        <v>197</v>
      </c>
    </row>
    <row r="30" spans="1:9" x14ac:dyDescent="0.3">
      <c r="A30" s="38">
        <v>25</v>
      </c>
      <c r="B30" s="38">
        <v>20007680</v>
      </c>
      <c r="C30" s="39" t="s">
        <v>74</v>
      </c>
      <c r="D30" s="39" t="s">
        <v>75</v>
      </c>
      <c r="E30" s="40"/>
      <c r="F30" s="40">
        <v>3</v>
      </c>
      <c r="G30" s="41"/>
      <c r="H30" s="41"/>
      <c r="I30" s="42" t="s">
        <v>198</v>
      </c>
    </row>
    <row r="31" spans="1:9" x14ac:dyDescent="0.3">
      <c r="A31" s="38">
        <v>26</v>
      </c>
      <c r="B31" s="38">
        <v>20006355</v>
      </c>
      <c r="C31" s="39" t="s">
        <v>3</v>
      </c>
      <c r="D31" s="39"/>
      <c r="E31" s="40"/>
      <c r="F31" s="40">
        <v>2</v>
      </c>
      <c r="G31" s="41"/>
      <c r="H31" s="41"/>
      <c r="I31" s="42" t="s">
        <v>2</v>
      </c>
    </row>
    <row r="32" spans="1:9" x14ac:dyDescent="0.3">
      <c r="A32" s="38">
        <v>27</v>
      </c>
      <c r="B32" s="38">
        <v>20008543</v>
      </c>
      <c r="C32" s="39" t="s">
        <v>199</v>
      </c>
      <c r="D32" s="39" t="s">
        <v>283</v>
      </c>
      <c r="E32" s="40"/>
      <c r="F32" s="40">
        <v>4</v>
      </c>
      <c r="G32" s="41"/>
      <c r="H32" s="41"/>
      <c r="I32" s="42" t="s">
        <v>200</v>
      </c>
    </row>
    <row r="33" spans="1:9" x14ac:dyDescent="0.3">
      <c r="A33" s="38">
        <v>28</v>
      </c>
      <c r="B33" s="38">
        <v>20006353</v>
      </c>
      <c r="C33" s="39" t="s">
        <v>361</v>
      </c>
      <c r="D33" s="39" t="s">
        <v>361</v>
      </c>
      <c r="E33" s="40"/>
      <c r="F33" s="40">
        <v>2</v>
      </c>
      <c r="G33" s="41"/>
      <c r="H33" s="41"/>
      <c r="I33" s="42" t="s">
        <v>4</v>
      </c>
    </row>
    <row r="34" spans="1:9" x14ac:dyDescent="0.3">
      <c r="A34" s="38">
        <v>29</v>
      </c>
      <c r="B34" s="38">
        <v>20006350</v>
      </c>
      <c r="C34" s="39" t="s">
        <v>7</v>
      </c>
      <c r="D34" s="39" t="s">
        <v>7</v>
      </c>
      <c r="E34" s="40"/>
      <c r="F34" s="40">
        <v>2</v>
      </c>
      <c r="G34" s="41"/>
      <c r="H34" s="41"/>
      <c r="I34" s="42" t="s">
        <v>6</v>
      </c>
    </row>
    <row r="35" spans="1:9" x14ac:dyDescent="0.3">
      <c r="A35" s="38">
        <v>30</v>
      </c>
      <c r="B35" s="38">
        <v>20007693</v>
      </c>
      <c r="C35" s="39" t="s">
        <v>76</v>
      </c>
      <c r="D35" s="39"/>
      <c r="E35" s="40"/>
      <c r="F35" s="40">
        <v>2</v>
      </c>
      <c r="G35" s="41"/>
      <c r="H35" s="41"/>
      <c r="I35" s="42" t="s">
        <v>8</v>
      </c>
    </row>
    <row r="36" spans="1:9" x14ac:dyDescent="0.3">
      <c r="A36" s="38">
        <v>31</v>
      </c>
      <c r="B36" s="38">
        <v>20007232</v>
      </c>
      <c r="C36" s="39" t="s">
        <v>315</v>
      </c>
      <c r="D36" s="39" t="s">
        <v>316</v>
      </c>
      <c r="E36" s="40"/>
      <c r="F36" s="40">
        <v>4</v>
      </c>
      <c r="G36" s="41"/>
      <c r="H36" s="41"/>
      <c r="I36" s="42" t="s">
        <v>201</v>
      </c>
    </row>
    <row r="37" spans="1:9" x14ac:dyDescent="0.3">
      <c r="A37" s="38">
        <v>32</v>
      </c>
      <c r="B37" s="38">
        <v>20006730</v>
      </c>
      <c r="C37" s="39" t="s">
        <v>302</v>
      </c>
      <c r="D37" s="39"/>
      <c r="E37" s="40"/>
      <c r="F37" s="40">
        <v>1</v>
      </c>
      <c r="G37" s="41"/>
      <c r="H37" s="41"/>
      <c r="I37" s="42" t="s">
        <v>202</v>
      </c>
    </row>
    <row r="38" spans="1:9" x14ac:dyDescent="0.3">
      <c r="A38" s="38">
        <v>33</v>
      </c>
      <c r="B38" s="38">
        <v>20008544</v>
      </c>
      <c r="C38" s="39" t="s">
        <v>300</v>
      </c>
      <c r="D38" s="39"/>
      <c r="E38" s="40"/>
      <c r="F38" s="40">
        <v>1</v>
      </c>
      <c r="G38" s="41"/>
      <c r="H38" s="41"/>
      <c r="I38" s="42" t="s">
        <v>9</v>
      </c>
    </row>
    <row r="39" spans="1:9" x14ac:dyDescent="0.3">
      <c r="A39" s="38">
        <v>34</v>
      </c>
      <c r="B39" s="50">
        <v>20008545</v>
      </c>
      <c r="C39" s="51" t="s">
        <v>204</v>
      </c>
      <c r="D39" s="51" t="s">
        <v>285</v>
      </c>
      <c r="E39" s="52"/>
      <c r="F39" s="52">
        <v>2</v>
      </c>
      <c r="G39" s="53"/>
      <c r="H39" s="53"/>
      <c r="I39" s="54" t="s">
        <v>203</v>
      </c>
    </row>
    <row r="40" spans="1:9" x14ac:dyDescent="0.3">
      <c r="A40" s="38">
        <v>35</v>
      </c>
      <c r="B40" s="38">
        <v>20006369</v>
      </c>
      <c r="C40" s="39" t="s">
        <v>78</v>
      </c>
      <c r="D40" s="39" t="s">
        <v>77</v>
      </c>
      <c r="E40" s="40"/>
      <c r="F40" s="40">
        <v>3</v>
      </c>
      <c r="G40" s="41"/>
      <c r="H40" s="41"/>
      <c r="I40" s="42" t="s">
        <v>205</v>
      </c>
    </row>
    <row r="41" spans="1:9" x14ac:dyDescent="0.3">
      <c r="A41" s="38">
        <v>36</v>
      </c>
      <c r="B41" s="38">
        <v>20006370</v>
      </c>
      <c r="C41" s="39" t="s">
        <v>362</v>
      </c>
      <c r="D41" s="39" t="s">
        <v>282</v>
      </c>
      <c r="E41" s="40"/>
      <c r="F41" s="40">
        <v>3</v>
      </c>
      <c r="G41" s="41"/>
      <c r="H41" s="41"/>
      <c r="I41" s="42" t="s">
        <v>396</v>
      </c>
    </row>
    <row r="42" spans="1:9" x14ac:dyDescent="0.3">
      <c r="A42" s="38">
        <v>37</v>
      </c>
      <c r="B42" s="38">
        <v>20007698</v>
      </c>
      <c r="C42" s="39" t="s">
        <v>79</v>
      </c>
      <c r="D42" s="39" t="s">
        <v>80</v>
      </c>
      <c r="E42" s="40"/>
      <c r="F42" s="40">
        <v>8</v>
      </c>
      <c r="G42" s="41"/>
      <c r="H42" s="41"/>
      <c r="I42" s="42" t="s">
        <v>208</v>
      </c>
    </row>
    <row r="43" spans="1:9" x14ac:dyDescent="0.3">
      <c r="A43" s="38">
        <v>38</v>
      </c>
      <c r="B43" s="38">
        <v>20008546</v>
      </c>
      <c r="C43" s="39" t="s">
        <v>209</v>
      </c>
      <c r="D43" s="39" t="s">
        <v>284</v>
      </c>
      <c r="E43" s="40"/>
      <c r="F43" s="40">
        <v>2</v>
      </c>
      <c r="G43" s="41"/>
      <c r="H43" s="41"/>
      <c r="I43" s="42" t="s">
        <v>210</v>
      </c>
    </row>
    <row r="44" spans="1:9" x14ac:dyDescent="0.3">
      <c r="A44" s="38">
        <v>39</v>
      </c>
      <c r="B44" s="38">
        <v>20007704</v>
      </c>
      <c r="C44" s="39" t="s">
        <v>82</v>
      </c>
      <c r="D44" s="39" t="s">
        <v>81</v>
      </c>
      <c r="E44" s="40"/>
      <c r="F44" s="40">
        <v>2</v>
      </c>
      <c r="G44" s="41"/>
      <c r="H44" s="41"/>
      <c r="I44" s="42" t="s">
        <v>10</v>
      </c>
    </row>
    <row r="45" spans="1:9" x14ac:dyDescent="0.3">
      <c r="A45" s="38">
        <v>40</v>
      </c>
      <c r="B45" s="38">
        <v>20008547</v>
      </c>
      <c r="C45" s="39" t="s">
        <v>211</v>
      </c>
      <c r="D45" s="39" t="s">
        <v>286</v>
      </c>
      <c r="E45" s="40"/>
      <c r="F45" s="40">
        <v>1</v>
      </c>
      <c r="G45" s="41"/>
      <c r="H45" s="41"/>
      <c r="I45" s="42" t="s">
        <v>212</v>
      </c>
    </row>
    <row r="46" spans="1:9" x14ac:dyDescent="0.3">
      <c r="A46" s="38">
        <v>41</v>
      </c>
      <c r="B46" s="38">
        <v>20008611</v>
      </c>
      <c r="C46" s="39" t="s">
        <v>342</v>
      </c>
      <c r="D46" s="39" t="s">
        <v>418</v>
      </c>
      <c r="E46" s="40"/>
      <c r="F46" s="40">
        <v>1</v>
      </c>
      <c r="G46" s="41"/>
      <c r="H46" s="41"/>
      <c r="I46" s="42" t="s">
        <v>11</v>
      </c>
    </row>
    <row r="47" spans="1:9" x14ac:dyDescent="0.3">
      <c r="A47" s="38">
        <v>42</v>
      </c>
      <c r="B47" s="38">
        <v>20006372</v>
      </c>
      <c r="C47" s="39" t="s">
        <v>13</v>
      </c>
      <c r="D47" s="39" t="s">
        <v>83</v>
      </c>
      <c r="E47" s="40"/>
      <c r="F47" s="40">
        <v>2</v>
      </c>
      <c r="G47" s="41"/>
      <c r="H47" s="41"/>
      <c r="I47" s="42" t="s">
        <v>12</v>
      </c>
    </row>
    <row r="48" spans="1:9" x14ac:dyDescent="0.3">
      <c r="A48" s="38">
        <v>43</v>
      </c>
      <c r="B48" s="38">
        <v>20007169</v>
      </c>
      <c r="C48" s="39" t="s">
        <v>15</v>
      </c>
      <c r="D48" s="39"/>
      <c r="E48" s="40"/>
      <c r="F48" s="40">
        <v>2</v>
      </c>
      <c r="G48" s="41"/>
      <c r="H48" s="41"/>
      <c r="I48" s="42" t="s">
        <v>14</v>
      </c>
    </row>
    <row r="49" spans="1:9" x14ac:dyDescent="0.3">
      <c r="A49" s="38">
        <v>44</v>
      </c>
      <c r="B49" s="38">
        <v>20003777</v>
      </c>
      <c r="C49" s="39" t="s">
        <v>84</v>
      </c>
      <c r="D49" s="39"/>
      <c r="E49" s="40"/>
      <c r="F49" s="40">
        <v>2</v>
      </c>
      <c r="G49" s="41"/>
      <c r="H49" s="41"/>
      <c r="I49" s="42" t="s">
        <v>16</v>
      </c>
    </row>
    <row r="50" spans="1:9" x14ac:dyDescent="0.3">
      <c r="A50" s="38">
        <v>45</v>
      </c>
      <c r="B50" s="38">
        <v>20007705</v>
      </c>
      <c r="C50" s="39" t="s">
        <v>18</v>
      </c>
      <c r="D50" s="39"/>
      <c r="E50" s="40"/>
      <c r="F50" s="40">
        <v>1</v>
      </c>
      <c r="G50" s="41"/>
      <c r="H50" s="41"/>
      <c r="I50" s="42" t="s">
        <v>17</v>
      </c>
    </row>
    <row r="51" spans="1:9" x14ac:dyDescent="0.3">
      <c r="A51" s="38">
        <v>46</v>
      </c>
      <c r="B51" s="38">
        <v>20000477</v>
      </c>
      <c r="C51" s="39" t="s">
        <v>363</v>
      </c>
      <c r="D51" s="39" t="s">
        <v>364</v>
      </c>
      <c r="E51" s="40"/>
      <c r="F51" s="40">
        <v>1</v>
      </c>
      <c r="G51" s="41"/>
      <c r="H51" s="41"/>
      <c r="I51" s="42" t="s">
        <v>179</v>
      </c>
    </row>
    <row r="52" spans="1:9" x14ac:dyDescent="0.3">
      <c r="A52" s="38">
        <v>47</v>
      </c>
      <c r="B52" s="38">
        <v>20000473</v>
      </c>
      <c r="C52" s="39" t="s">
        <v>21</v>
      </c>
      <c r="D52" s="39" t="s">
        <v>86</v>
      </c>
      <c r="E52" s="40"/>
      <c r="F52" s="40">
        <v>1</v>
      </c>
      <c r="G52" s="41"/>
      <c r="H52" s="41"/>
      <c r="I52" s="42" t="s">
        <v>20</v>
      </c>
    </row>
    <row r="53" spans="1:9" x14ac:dyDescent="0.3">
      <c r="A53" s="38">
        <v>48</v>
      </c>
      <c r="B53" s="38">
        <v>20003132</v>
      </c>
      <c r="C53" s="39" t="s">
        <v>89</v>
      </c>
      <c r="D53" s="39" t="s">
        <v>90</v>
      </c>
      <c r="E53" s="40"/>
      <c r="F53" s="40">
        <v>2</v>
      </c>
      <c r="G53" s="41"/>
      <c r="H53" s="41"/>
      <c r="I53" s="42" t="s">
        <v>213</v>
      </c>
    </row>
    <row r="54" spans="1:9" x14ac:dyDescent="0.3">
      <c r="A54" s="38">
        <v>49</v>
      </c>
      <c r="B54" s="38">
        <v>20000706</v>
      </c>
      <c r="C54" s="39" t="s">
        <v>87</v>
      </c>
      <c r="D54" s="39" t="s">
        <v>88</v>
      </c>
      <c r="E54" s="40"/>
      <c r="F54" s="40">
        <v>1</v>
      </c>
      <c r="G54" s="41"/>
      <c r="H54" s="41"/>
      <c r="I54" s="42" t="s">
        <v>214</v>
      </c>
    </row>
    <row r="55" spans="1:9" x14ac:dyDescent="0.3">
      <c r="A55" s="38">
        <v>50</v>
      </c>
      <c r="B55" s="38">
        <v>20007166</v>
      </c>
      <c r="C55" s="39" t="s">
        <v>319</v>
      </c>
      <c r="D55" s="39" t="s">
        <v>320</v>
      </c>
      <c r="E55" s="40"/>
      <c r="F55" s="40">
        <v>1</v>
      </c>
      <c r="G55" s="41"/>
      <c r="H55" s="41"/>
      <c r="I55" s="42" t="s">
        <v>22</v>
      </c>
    </row>
    <row r="56" spans="1:9" x14ac:dyDescent="0.3">
      <c r="A56" s="38">
        <v>51</v>
      </c>
      <c r="B56" s="38">
        <v>20006438</v>
      </c>
      <c r="C56" s="39" t="s">
        <v>216</v>
      </c>
      <c r="D56" s="39" t="s">
        <v>295</v>
      </c>
      <c r="E56" s="40"/>
      <c r="F56" s="40">
        <v>1</v>
      </c>
      <c r="G56" s="41"/>
      <c r="H56" s="41"/>
      <c r="I56" s="42" t="s">
        <v>215</v>
      </c>
    </row>
    <row r="57" spans="1:9" x14ac:dyDescent="0.3">
      <c r="A57" s="38">
        <v>52</v>
      </c>
      <c r="B57" s="38">
        <v>20006691</v>
      </c>
      <c r="C57" s="39" t="s">
        <v>92</v>
      </c>
      <c r="D57" s="39" t="s">
        <v>91</v>
      </c>
      <c r="E57" s="40"/>
      <c r="F57" s="40">
        <v>4</v>
      </c>
      <c r="G57" s="41"/>
      <c r="H57" s="41"/>
      <c r="I57" s="42" t="s">
        <v>217</v>
      </c>
    </row>
    <row r="58" spans="1:9" x14ac:dyDescent="0.3">
      <c r="A58" s="38">
        <v>53</v>
      </c>
      <c r="B58" s="38">
        <v>20002555</v>
      </c>
      <c r="C58" s="39" t="s">
        <v>93</v>
      </c>
      <c r="D58" s="39" t="s">
        <v>94</v>
      </c>
      <c r="E58" s="40"/>
      <c r="F58" s="40">
        <v>3</v>
      </c>
      <c r="G58" s="41"/>
      <c r="H58" s="41"/>
      <c r="I58" s="42" t="s">
        <v>23</v>
      </c>
    </row>
    <row r="59" spans="1:9" x14ac:dyDescent="0.3">
      <c r="A59" s="38">
        <v>54</v>
      </c>
      <c r="B59" s="38">
        <v>20008548</v>
      </c>
      <c r="C59" s="39" t="s">
        <v>97</v>
      </c>
      <c r="D59" s="39" t="s">
        <v>97</v>
      </c>
      <c r="E59" s="40"/>
      <c r="F59" s="40">
        <v>1</v>
      </c>
      <c r="G59" s="41"/>
      <c r="H59" s="41"/>
      <c r="I59" s="42" t="s">
        <v>24</v>
      </c>
    </row>
    <row r="60" spans="1:9" x14ac:dyDescent="0.3">
      <c r="A60" s="38">
        <v>55</v>
      </c>
      <c r="B60" s="38">
        <v>20000626</v>
      </c>
      <c r="C60" s="39" t="s">
        <v>365</v>
      </c>
      <c r="D60" s="39" t="s">
        <v>96</v>
      </c>
      <c r="E60" s="40"/>
      <c r="F60" s="40">
        <v>10</v>
      </c>
      <c r="G60" s="41"/>
      <c r="H60" s="41"/>
      <c r="I60" s="42" t="s">
        <v>371</v>
      </c>
    </row>
    <row r="61" spans="1:9" x14ac:dyDescent="0.3">
      <c r="A61" s="38">
        <v>56</v>
      </c>
      <c r="B61" s="38">
        <v>20007714</v>
      </c>
      <c r="C61" s="39" t="s">
        <v>98</v>
      </c>
      <c r="D61" s="39"/>
      <c r="E61" s="40"/>
      <c r="F61" s="40">
        <v>1</v>
      </c>
      <c r="G61" s="41"/>
      <c r="H61" s="41"/>
      <c r="I61" s="42" t="s">
        <v>25</v>
      </c>
    </row>
    <row r="62" spans="1:9" x14ac:dyDescent="0.3">
      <c r="A62" s="38">
        <v>57</v>
      </c>
      <c r="B62" s="38">
        <v>20004967</v>
      </c>
      <c r="C62" s="39" t="s">
        <v>99</v>
      </c>
      <c r="D62" s="39" t="s">
        <v>100</v>
      </c>
      <c r="E62" s="40"/>
      <c r="F62" s="40">
        <v>1</v>
      </c>
      <c r="G62" s="41"/>
      <c r="H62" s="41"/>
      <c r="I62" s="42" t="s">
        <v>26</v>
      </c>
    </row>
    <row r="63" spans="1:9" x14ac:dyDescent="0.3">
      <c r="A63" s="38">
        <v>58</v>
      </c>
      <c r="B63" s="38">
        <v>20002400</v>
      </c>
      <c r="C63" s="39" t="s">
        <v>170</v>
      </c>
      <c r="D63" s="39" t="s">
        <v>101</v>
      </c>
      <c r="E63" s="40"/>
      <c r="F63" s="40">
        <v>1</v>
      </c>
      <c r="G63" s="41"/>
      <c r="H63" s="41"/>
      <c r="I63" s="42" t="s">
        <v>27</v>
      </c>
    </row>
    <row r="64" spans="1:9" x14ac:dyDescent="0.3">
      <c r="A64" s="38">
        <v>59</v>
      </c>
      <c r="B64" s="38">
        <v>20004970</v>
      </c>
      <c r="C64" s="39" t="s">
        <v>102</v>
      </c>
      <c r="D64" s="39" t="s">
        <v>103</v>
      </c>
      <c r="E64" s="40"/>
      <c r="F64" s="40">
        <v>2</v>
      </c>
      <c r="G64" s="41"/>
      <c r="H64" s="41"/>
      <c r="I64" s="42" t="s">
        <v>28</v>
      </c>
    </row>
    <row r="65" spans="1:9" x14ac:dyDescent="0.3">
      <c r="A65" s="38">
        <v>60</v>
      </c>
      <c r="B65" s="38">
        <v>20006393</v>
      </c>
      <c r="C65" s="39" t="s">
        <v>397</v>
      </c>
      <c r="D65" s="39" t="s">
        <v>400</v>
      </c>
      <c r="E65" s="40"/>
      <c r="F65" s="40">
        <v>1</v>
      </c>
      <c r="G65" s="41"/>
      <c r="H65" s="41"/>
      <c r="I65" s="42" t="s">
        <v>398</v>
      </c>
    </row>
    <row r="66" spans="1:9" x14ac:dyDescent="0.3">
      <c r="A66" s="38">
        <v>61</v>
      </c>
      <c r="B66" s="38">
        <v>20000604</v>
      </c>
      <c r="C66" s="39" t="s">
        <v>104</v>
      </c>
      <c r="D66" s="39" t="s">
        <v>105</v>
      </c>
      <c r="E66" s="40"/>
      <c r="F66" s="40">
        <v>1</v>
      </c>
      <c r="G66" s="41"/>
      <c r="H66" s="41"/>
      <c r="I66" s="42" t="s">
        <v>399</v>
      </c>
    </row>
    <row r="67" spans="1:9" ht="156" x14ac:dyDescent="0.3">
      <c r="A67" s="38">
        <v>62</v>
      </c>
      <c r="B67" s="38">
        <v>20000549</v>
      </c>
      <c r="C67" s="39" t="s">
        <v>106</v>
      </c>
      <c r="D67" s="39" t="s">
        <v>107</v>
      </c>
      <c r="E67" s="40"/>
      <c r="F67" s="40">
        <v>29</v>
      </c>
      <c r="G67" s="41"/>
      <c r="H67" s="41"/>
      <c r="I67" s="43" t="s">
        <v>219</v>
      </c>
    </row>
    <row r="68" spans="1:9" x14ac:dyDescent="0.3">
      <c r="A68" s="38">
        <v>63</v>
      </c>
      <c r="B68" s="38">
        <v>20000562</v>
      </c>
      <c r="C68" s="39" t="s">
        <v>108</v>
      </c>
      <c r="D68" s="39" t="s">
        <v>109</v>
      </c>
      <c r="E68" s="40"/>
      <c r="F68" s="40">
        <v>4</v>
      </c>
      <c r="G68" s="41"/>
      <c r="H68" s="41"/>
      <c r="I68" s="42" t="s">
        <v>220</v>
      </c>
    </row>
    <row r="69" spans="1:9" x14ac:dyDescent="0.3">
      <c r="A69" s="38">
        <v>64</v>
      </c>
      <c r="B69" s="38">
        <v>20000583</v>
      </c>
      <c r="C69" s="39" t="s">
        <v>110</v>
      </c>
      <c r="D69" s="39" t="s">
        <v>111</v>
      </c>
      <c r="E69" s="40"/>
      <c r="F69" s="40">
        <v>6</v>
      </c>
      <c r="G69" s="41"/>
      <c r="H69" s="41"/>
      <c r="I69" s="42" t="s">
        <v>221</v>
      </c>
    </row>
    <row r="70" spans="1:9" x14ac:dyDescent="0.3">
      <c r="A70" s="38">
        <v>65</v>
      </c>
      <c r="B70" s="38">
        <v>20000565</v>
      </c>
      <c r="C70" s="39" t="s">
        <v>147</v>
      </c>
      <c r="D70" s="39" t="s">
        <v>148</v>
      </c>
      <c r="E70" s="40"/>
      <c r="F70" s="40">
        <v>9</v>
      </c>
      <c r="G70" s="41"/>
      <c r="H70" s="41"/>
      <c r="I70" s="42" t="s">
        <v>222</v>
      </c>
    </row>
    <row r="71" spans="1:9" x14ac:dyDescent="0.3">
      <c r="A71" s="38">
        <v>66</v>
      </c>
      <c r="B71" s="38">
        <v>20002424</v>
      </c>
      <c r="C71" s="39" t="s">
        <v>366</v>
      </c>
      <c r="D71" s="39" t="s">
        <v>330</v>
      </c>
      <c r="E71" s="40"/>
      <c r="F71" s="40">
        <v>1</v>
      </c>
      <c r="G71" s="41"/>
      <c r="H71" s="41"/>
      <c r="I71" s="42" t="s">
        <v>30</v>
      </c>
    </row>
    <row r="72" spans="1:9" x14ac:dyDescent="0.3">
      <c r="A72" s="38">
        <v>67</v>
      </c>
      <c r="B72" s="38">
        <v>20006390</v>
      </c>
      <c r="C72" s="39" t="s">
        <v>115</v>
      </c>
      <c r="D72" s="39" t="s">
        <v>112</v>
      </c>
      <c r="E72" s="40"/>
      <c r="F72" s="40">
        <v>1</v>
      </c>
      <c r="G72" s="41"/>
      <c r="H72" s="41"/>
      <c r="I72" s="42" t="s">
        <v>223</v>
      </c>
    </row>
    <row r="73" spans="1:9" x14ac:dyDescent="0.3">
      <c r="A73" s="38">
        <v>68</v>
      </c>
      <c r="B73" s="38">
        <v>20006418</v>
      </c>
      <c r="C73" s="39" t="s">
        <v>113</v>
      </c>
      <c r="D73" s="39" t="s">
        <v>114</v>
      </c>
      <c r="E73" s="40"/>
      <c r="F73" s="40">
        <v>1</v>
      </c>
      <c r="G73" s="41"/>
      <c r="H73" s="41"/>
      <c r="I73" s="42" t="s">
        <v>31</v>
      </c>
    </row>
    <row r="74" spans="1:9" x14ac:dyDescent="0.3">
      <c r="A74" s="38">
        <v>69</v>
      </c>
      <c r="B74" s="38">
        <v>20000580</v>
      </c>
      <c r="C74" s="39" t="s">
        <v>117</v>
      </c>
      <c r="D74" s="39" t="s">
        <v>118</v>
      </c>
      <c r="E74" s="40"/>
      <c r="F74" s="40">
        <v>2</v>
      </c>
      <c r="G74" s="41"/>
      <c r="H74" s="41"/>
      <c r="I74" s="42" t="s">
        <v>395</v>
      </c>
    </row>
    <row r="75" spans="1:9" x14ac:dyDescent="0.3">
      <c r="A75" s="38">
        <v>70</v>
      </c>
      <c r="B75" s="38">
        <v>20002561</v>
      </c>
      <c r="C75" s="39" t="s">
        <v>171</v>
      </c>
      <c r="D75" s="39" t="s">
        <v>116</v>
      </c>
      <c r="E75" s="40"/>
      <c r="F75" s="40">
        <v>1</v>
      </c>
      <c r="G75" s="41"/>
      <c r="H75" s="41"/>
      <c r="I75" s="42" t="s">
        <v>32</v>
      </c>
    </row>
    <row r="76" spans="1:9" x14ac:dyDescent="0.3">
      <c r="A76" s="38">
        <v>71</v>
      </c>
      <c r="B76" s="50">
        <v>20000594</v>
      </c>
      <c r="C76" s="51" t="s">
        <v>119</v>
      </c>
      <c r="D76" s="51" t="s">
        <v>120</v>
      </c>
      <c r="E76" s="52"/>
      <c r="F76" s="52">
        <v>1</v>
      </c>
      <c r="G76" s="53"/>
      <c r="H76" s="53"/>
      <c r="I76" s="54" t="s">
        <v>33</v>
      </c>
    </row>
    <row r="77" spans="1:9" x14ac:dyDescent="0.3">
      <c r="A77" s="38">
        <v>72</v>
      </c>
      <c r="B77" s="38">
        <v>20009236</v>
      </c>
      <c r="C77" s="39" t="s">
        <v>121</v>
      </c>
      <c r="D77" s="39" t="s">
        <v>370</v>
      </c>
      <c r="E77" s="40"/>
      <c r="F77" s="40">
        <v>2</v>
      </c>
      <c r="G77" s="41"/>
      <c r="H77" s="41"/>
      <c r="I77" s="42" t="s">
        <v>225</v>
      </c>
    </row>
    <row r="78" spans="1:9" x14ac:dyDescent="0.3">
      <c r="A78" s="38">
        <v>73</v>
      </c>
      <c r="B78" s="38">
        <v>20000585</v>
      </c>
      <c r="C78" s="39" t="s">
        <v>125</v>
      </c>
      <c r="D78" s="39" t="s">
        <v>126</v>
      </c>
      <c r="E78" s="40"/>
      <c r="F78" s="40">
        <v>2</v>
      </c>
      <c r="G78" s="41"/>
      <c r="H78" s="41"/>
      <c r="I78" s="42" t="s">
        <v>34</v>
      </c>
    </row>
    <row r="79" spans="1:9" x14ac:dyDescent="0.3">
      <c r="A79" s="38">
        <v>74</v>
      </c>
      <c r="B79" s="38">
        <v>20006594</v>
      </c>
      <c r="C79" s="39" t="s">
        <v>123</v>
      </c>
      <c r="D79" s="39" t="s">
        <v>124</v>
      </c>
      <c r="E79" s="40"/>
      <c r="F79" s="40">
        <v>2</v>
      </c>
      <c r="G79" s="41"/>
      <c r="H79" s="41"/>
      <c r="I79" s="42" t="s">
        <v>226</v>
      </c>
    </row>
    <row r="80" spans="1:9" x14ac:dyDescent="0.3">
      <c r="A80" s="38">
        <v>75</v>
      </c>
      <c r="B80" s="38">
        <v>20006377</v>
      </c>
      <c r="C80" s="39" t="s">
        <v>321</v>
      </c>
      <c r="D80" s="39" t="s">
        <v>322</v>
      </c>
      <c r="E80" s="40"/>
      <c r="F80" s="40">
        <v>3</v>
      </c>
      <c r="G80" s="41"/>
      <c r="H80" s="41"/>
      <c r="I80" s="42" t="s">
        <v>227</v>
      </c>
    </row>
    <row r="81" spans="1:9" x14ac:dyDescent="0.3">
      <c r="A81" s="38">
        <v>76</v>
      </c>
      <c r="B81" s="38">
        <v>20008549</v>
      </c>
      <c r="C81" s="39" t="s">
        <v>229</v>
      </c>
      <c r="D81" s="39"/>
      <c r="E81" s="40"/>
      <c r="F81" s="40">
        <v>8</v>
      </c>
      <c r="G81" s="41"/>
      <c r="H81" s="41"/>
      <c r="I81" s="42" t="s">
        <v>228</v>
      </c>
    </row>
    <row r="82" spans="1:9" x14ac:dyDescent="0.3">
      <c r="A82" s="38">
        <v>77</v>
      </c>
      <c r="B82" s="38">
        <v>20000592</v>
      </c>
      <c r="C82" s="39" t="s">
        <v>127</v>
      </c>
      <c r="D82" s="39" t="s">
        <v>128</v>
      </c>
      <c r="E82" s="40"/>
      <c r="F82" s="40">
        <v>2</v>
      </c>
      <c r="G82" s="41"/>
      <c r="H82" s="41"/>
      <c r="I82" s="42" t="s">
        <v>230</v>
      </c>
    </row>
    <row r="83" spans="1:9" x14ac:dyDescent="0.3">
      <c r="A83" s="38">
        <v>78</v>
      </c>
      <c r="B83" s="38">
        <v>20002559</v>
      </c>
      <c r="C83" s="39" t="s">
        <v>172</v>
      </c>
      <c r="D83" s="39" t="s">
        <v>129</v>
      </c>
      <c r="E83" s="40"/>
      <c r="F83" s="40">
        <v>2</v>
      </c>
      <c r="G83" s="41"/>
      <c r="H83" s="41"/>
      <c r="I83" s="42" t="s">
        <v>231</v>
      </c>
    </row>
    <row r="84" spans="1:9" x14ac:dyDescent="0.3">
      <c r="A84" s="38">
        <v>79</v>
      </c>
      <c r="B84" s="38">
        <v>20002514</v>
      </c>
      <c r="C84" s="39" t="s">
        <v>130</v>
      </c>
      <c r="D84" s="39" t="s">
        <v>131</v>
      </c>
      <c r="E84" s="40"/>
      <c r="F84" s="40">
        <v>2</v>
      </c>
      <c r="G84" s="41"/>
      <c r="H84" s="41"/>
      <c r="I84" s="42" t="s">
        <v>232</v>
      </c>
    </row>
    <row r="85" spans="1:9" x14ac:dyDescent="0.3">
      <c r="A85" s="38">
        <v>80</v>
      </c>
      <c r="B85" s="38">
        <v>20007709</v>
      </c>
      <c r="C85" s="39" t="s">
        <v>169</v>
      </c>
      <c r="D85" s="39" t="s">
        <v>169</v>
      </c>
      <c r="E85" s="40"/>
      <c r="F85" s="40">
        <v>2</v>
      </c>
      <c r="G85" s="41"/>
      <c r="H85" s="41"/>
      <c r="I85" s="42" t="s">
        <v>35</v>
      </c>
    </row>
    <row r="86" spans="1:9" x14ac:dyDescent="0.3">
      <c r="A86" s="38">
        <v>81</v>
      </c>
      <c r="B86" s="38">
        <v>20000595</v>
      </c>
      <c r="C86" s="39" t="s">
        <v>139</v>
      </c>
      <c r="D86" s="39" t="s">
        <v>140</v>
      </c>
      <c r="E86" s="40"/>
      <c r="F86" s="40">
        <v>3</v>
      </c>
      <c r="G86" s="41"/>
      <c r="H86" s="41"/>
      <c r="I86" s="42" t="s">
        <v>233</v>
      </c>
    </row>
    <row r="87" spans="1:9" x14ac:dyDescent="0.3">
      <c r="A87" s="38">
        <v>82</v>
      </c>
      <c r="B87" s="38">
        <v>20000606</v>
      </c>
      <c r="C87" s="39" t="s">
        <v>141</v>
      </c>
      <c r="D87" s="39" t="s">
        <v>142</v>
      </c>
      <c r="E87" s="40"/>
      <c r="F87" s="40">
        <v>4</v>
      </c>
      <c r="G87" s="41"/>
      <c r="H87" s="41"/>
      <c r="I87" s="42" t="s">
        <v>234</v>
      </c>
    </row>
    <row r="88" spans="1:9" x14ac:dyDescent="0.3">
      <c r="A88" s="38">
        <v>83</v>
      </c>
      <c r="B88" s="38">
        <v>20000621</v>
      </c>
      <c r="C88" s="39" t="s">
        <v>143</v>
      </c>
      <c r="D88" s="39" t="s">
        <v>144</v>
      </c>
      <c r="E88" s="40"/>
      <c r="F88" s="40">
        <v>3</v>
      </c>
      <c r="G88" s="41"/>
      <c r="H88" s="41"/>
      <c r="I88" s="42" t="s">
        <v>235</v>
      </c>
    </row>
    <row r="89" spans="1:9" x14ac:dyDescent="0.3">
      <c r="A89" s="38">
        <v>84</v>
      </c>
      <c r="B89" s="38">
        <v>20006381</v>
      </c>
      <c r="C89" s="39" t="s">
        <v>145</v>
      </c>
      <c r="D89" s="39" t="s">
        <v>146</v>
      </c>
      <c r="E89" s="40"/>
      <c r="F89" s="40">
        <v>2</v>
      </c>
      <c r="G89" s="41"/>
      <c r="H89" s="41"/>
      <c r="I89" s="42" t="s">
        <v>236</v>
      </c>
    </row>
    <row r="90" spans="1:9" x14ac:dyDescent="0.3">
      <c r="A90" s="38">
        <v>85</v>
      </c>
      <c r="B90" s="38">
        <v>20006386</v>
      </c>
      <c r="C90" s="39" t="s">
        <v>149</v>
      </c>
      <c r="D90" s="39" t="s">
        <v>367</v>
      </c>
      <c r="E90" s="40"/>
      <c r="F90" s="40">
        <v>3</v>
      </c>
      <c r="G90" s="41"/>
      <c r="H90" s="41"/>
      <c r="I90" s="42" t="s">
        <v>331</v>
      </c>
    </row>
    <row r="91" spans="1:9" x14ac:dyDescent="0.3">
      <c r="A91" s="38">
        <v>86</v>
      </c>
      <c r="B91" s="38">
        <v>20003607</v>
      </c>
      <c r="C91" s="39" t="s">
        <v>151</v>
      </c>
      <c r="D91" s="39" t="s">
        <v>150</v>
      </c>
      <c r="E91" s="40"/>
      <c r="F91" s="40">
        <v>2</v>
      </c>
      <c r="G91" s="41"/>
      <c r="H91" s="41"/>
      <c r="I91" s="42" t="s">
        <v>36</v>
      </c>
    </row>
    <row r="92" spans="1:9" x14ac:dyDescent="0.3">
      <c r="A92" s="38">
        <v>87</v>
      </c>
      <c r="B92" s="38">
        <v>20007716</v>
      </c>
      <c r="C92" s="39" t="s">
        <v>152</v>
      </c>
      <c r="D92" s="39" t="s">
        <v>150</v>
      </c>
      <c r="E92" s="40"/>
      <c r="F92" s="40">
        <v>1</v>
      </c>
      <c r="G92" s="41"/>
      <c r="H92" s="41"/>
      <c r="I92" s="42" t="s">
        <v>37</v>
      </c>
    </row>
    <row r="93" spans="1:9" x14ac:dyDescent="0.3">
      <c r="A93" s="38">
        <v>88</v>
      </c>
      <c r="B93" s="38">
        <v>20007721</v>
      </c>
      <c r="C93" s="39" t="s">
        <v>153</v>
      </c>
      <c r="D93" s="39"/>
      <c r="E93" s="40"/>
      <c r="F93" s="40">
        <v>1</v>
      </c>
      <c r="G93" s="41"/>
      <c r="H93" s="41"/>
      <c r="I93" s="42" t="s">
        <v>38</v>
      </c>
    </row>
    <row r="94" spans="1:9" x14ac:dyDescent="0.3">
      <c r="A94" s="38">
        <v>89</v>
      </c>
      <c r="B94" s="38">
        <v>20000596</v>
      </c>
      <c r="C94" s="39" t="s">
        <v>154</v>
      </c>
      <c r="D94" s="39" t="s">
        <v>155</v>
      </c>
      <c r="E94" s="40"/>
      <c r="F94" s="40">
        <v>1</v>
      </c>
      <c r="G94" s="41"/>
      <c r="H94" s="41"/>
      <c r="I94" s="42" t="s">
        <v>39</v>
      </c>
    </row>
    <row r="95" spans="1:9" x14ac:dyDescent="0.3">
      <c r="A95" s="38">
        <v>90</v>
      </c>
      <c r="B95" s="38">
        <v>20007722</v>
      </c>
      <c r="C95" s="39" t="s">
        <v>156</v>
      </c>
      <c r="D95" s="39"/>
      <c r="E95" s="40"/>
      <c r="F95" s="40">
        <v>1</v>
      </c>
      <c r="G95" s="41"/>
      <c r="H95" s="41"/>
      <c r="I95" s="42" t="s">
        <v>40</v>
      </c>
    </row>
    <row r="96" spans="1:9" x14ac:dyDescent="0.3">
      <c r="A96" s="38">
        <v>91</v>
      </c>
      <c r="B96" s="38">
        <v>20008550</v>
      </c>
      <c r="C96" s="39" t="s">
        <v>237</v>
      </c>
      <c r="D96" s="39"/>
      <c r="E96" s="40"/>
      <c r="F96" s="40">
        <v>2</v>
      </c>
      <c r="G96" s="41"/>
      <c r="H96" s="41"/>
      <c r="I96" s="42" t="s">
        <v>238</v>
      </c>
    </row>
    <row r="97" spans="1:9" x14ac:dyDescent="0.3">
      <c r="A97" s="38">
        <v>92</v>
      </c>
      <c r="B97" s="38">
        <v>20000566</v>
      </c>
      <c r="C97" s="39" t="s">
        <v>157</v>
      </c>
      <c r="D97" s="39" t="s">
        <v>158</v>
      </c>
      <c r="E97" s="40"/>
      <c r="F97" s="40">
        <v>2</v>
      </c>
      <c r="G97" s="41"/>
      <c r="H97" s="41"/>
      <c r="I97" s="42" t="s">
        <v>239</v>
      </c>
    </row>
    <row r="98" spans="1:9" x14ac:dyDescent="0.3">
      <c r="A98" s="38">
        <v>93</v>
      </c>
      <c r="B98" s="38">
        <v>20001765</v>
      </c>
      <c r="C98" s="44" t="s">
        <v>266</v>
      </c>
      <c r="D98" s="39" t="s">
        <v>267</v>
      </c>
      <c r="E98" s="40"/>
      <c r="F98" s="40">
        <v>1</v>
      </c>
      <c r="G98" s="41"/>
      <c r="H98" s="41"/>
      <c r="I98" s="45" t="s">
        <v>328</v>
      </c>
    </row>
    <row r="99" spans="1:9" x14ac:dyDescent="0.3">
      <c r="A99" s="38">
        <v>94</v>
      </c>
      <c r="B99" s="38">
        <v>20000597</v>
      </c>
      <c r="C99" s="39" t="s">
        <v>368</v>
      </c>
      <c r="D99" s="39" t="s">
        <v>311</v>
      </c>
      <c r="E99" s="40"/>
      <c r="F99" s="40">
        <v>1</v>
      </c>
      <c r="G99" s="41"/>
      <c r="H99" s="41"/>
      <c r="I99" s="46" t="s">
        <v>240</v>
      </c>
    </row>
    <row r="100" spans="1:9" x14ac:dyDescent="0.3">
      <c r="A100" s="38">
        <v>95</v>
      </c>
      <c r="B100" s="38">
        <v>20002403</v>
      </c>
      <c r="C100" s="39" t="s">
        <v>253</v>
      </c>
      <c r="D100" s="39" t="s">
        <v>271</v>
      </c>
      <c r="E100" s="40"/>
      <c r="F100" s="40">
        <v>1</v>
      </c>
      <c r="G100" s="41"/>
      <c r="H100" s="41"/>
      <c r="I100" s="46" t="s">
        <v>243</v>
      </c>
    </row>
    <row r="101" spans="1:9" x14ac:dyDescent="0.3">
      <c r="A101" s="38">
        <v>96</v>
      </c>
      <c r="B101" s="38">
        <v>20006742</v>
      </c>
      <c r="C101" s="39" t="s">
        <v>254</v>
      </c>
      <c r="D101" s="39"/>
      <c r="E101" s="40"/>
      <c r="F101" s="40">
        <v>1</v>
      </c>
      <c r="G101" s="41"/>
      <c r="H101" s="41"/>
      <c r="I101" s="46" t="s">
        <v>244</v>
      </c>
    </row>
    <row r="102" spans="1:9" x14ac:dyDescent="0.3">
      <c r="A102" s="38">
        <v>97</v>
      </c>
      <c r="B102" s="38">
        <v>20006075</v>
      </c>
      <c r="C102" s="39" t="s">
        <v>296</v>
      </c>
      <c r="D102" s="39" t="s">
        <v>303</v>
      </c>
      <c r="E102" s="40"/>
      <c r="F102" s="40">
        <v>1</v>
      </c>
      <c r="G102" s="41"/>
      <c r="H102" s="41"/>
      <c r="I102" s="46" t="s">
        <v>245</v>
      </c>
    </row>
    <row r="103" spans="1:9" x14ac:dyDescent="0.3">
      <c r="A103" s="38">
        <v>98</v>
      </c>
      <c r="B103" s="38">
        <v>20002740</v>
      </c>
      <c r="C103" s="39" t="s">
        <v>323</v>
      </c>
      <c r="D103" s="39" t="s">
        <v>324</v>
      </c>
      <c r="E103" s="40"/>
      <c r="F103" s="40">
        <v>1</v>
      </c>
      <c r="G103" s="41"/>
      <c r="H103" s="41"/>
      <c r="I103" s="46" t="s">
        <v>246</v>
      </c>
    </row>
    <row r="104" spans="1:9" x14ac:dyDescent="0.3">
      <c r="A104" s="38">
        <v>99</v>
      </c>
      <c r="B104" s="38">
        <v>20007719</v>
      </c>
      <c r="C104" s="39" t="s">
        <v>252</v>
      </c>
      <c r="D104" s="39" t="s">
        <v>272</v>
      </c>
      <c r="E104" s="40"/>
      <c r="F104" s="40">
        <v>1</v>
      </c>
      <c r="G104" s="41"/>
      <c r="H104" s="41"/>
      <c r="I104" s="46" t="s">
        <v>247</v>
      </c>
    </row>
    <row r="105" spans="1:9" x14ac:dyDescent="0.3">
      <c r="A105" s="38">
        <v>100</v>
      </c>
      <c r="B105" s="38">
        <v>20000607</v>
      </c>
      <c r="C105" s="39" t="s">
        <v>273</v>
      </c>
      <c r="D105" s="39" t="s">
        <v>274</v>
      </c>
      <c r="E105" s="40"/>
      <c r="F105" s="40">
        <v>1</v>
      </c>
      <c r="G105" s="41"/>
      <c r="H105" s="41"/>
      <c r="I105" s="46" t="s">
        <v>248</v>
      </c>
    </row>
    <row r="106" spans="1:9" x14ac:dyDescent="0.3">
      <c r="A106" s="38">
        <v>101</v>
      </c>
      <c r="B106" s="38">
        <v>20002291</v>
      </c>
      <c r="C106" s="39" t="s">
        <v>275</v>
      </c>
      <c r="D106" s="39" t="s">
        <v>276</v>
      </c>
      <c r="E106" s="40"/>
      <c r="F106" s="40">
        <v>1</v>
      </c>
      <c r="G106" s="41"/>
      <c r="H106" s="41"/>
      <c r="I106" s="46" t="s">
        <v>249</v>
      </c>
    </row>
    <row r="107" spans="1:9" x14ac:dyDescent="0.3">
      <c r="A107" s="38">
        <v>102</v>
      </c>
      <c r="B107" s="38">
        <v>20000633</v>
      </c>
      <c r="C107" s="39" t="s">
        <v>401</v>
      </c>
      <c r="D107" s="39" t="s">
        <v>402</v>
      </c>
      <c r="E107" s="40"/>
      <c r="F107" s="40">
        <v>1</v>
      </c>
      <c r="G107" s="41"/>
      <c r="H107" s="41"/>
      <c r="I107" s="42" t="s">
        <v>250</v>
      </c>
    </row>
    <row r="108" spans="1:9" x14ac:dyDescent="0.3">
      <c r="A108" s="38">
        <v>103</v>
      </c>
      <c r="B108" s="38">
        <v>20004986</v>
      </c>
      <c r="C108" s="39" t="s">
        <v>403</v>
      </c>
      <c r="D108" s="39" t="s">
        <v>326</v>
      </c>
      <c r="E108" s="40"/>
      <c r="F108" s="40">
        <v>3</v>
      </c>
      <c r="G108" s="41"/>
      <c r="H108" s="41"/>
      <c r="I108" s="42" t="s">
        <v>392</v>
      </c>
    </row>
    <row r="109" spans="1:9" x14ac:dyDescent="0.3">
      <c r="A109" s="38">
        <v>104</v>
      </c>
      <c r="B109" s="38">
        <v>20007172</v>
      </c>
      <c r="C109" s="39" t="s">
        <v>404</v>
      </c>
      <c r="D109" s="39" t="s">
        <v>405</v>
      </c>
      <c r="E109" s="40"/>
      <c r="F109" s="40">
        <v>2</v>
      </c>
      <c r="G109" s="41"/>
      <c r="H109" s="41"/>
      <c r="I109" s="42" t="s">
        <v>41</v>
      </c>
    </row>
    <row r="110" spans="1:9" x14ac:dyDescent="0.3">
      <c r="A110" s="38">
        <v>105</v>
      </c>
      <c r="B110" s="38">
        <v>20005834</v>
      </c>
      <c r="C110" s="39" t="s">
        <v>406</v>
      </c>
      <c r="D110" s="39" t="s">
        <v>407</v>
      </c>
      <c r="E110" s="40"/>
      <c r="F110" s="40">
        <v>1</v>
      </c>
      <c r="G110" s="41"/>
      <c r="H110" s="41"/>
      <c r="I110" s="42" t="s">
        <v>42</v>
      </c>
    </row>
    <row r="111" spans="1:9" x14ac:dyDescent="0.3">
      <c r="A111" s="38">
        <v>106</v>
      </c>
      <c r="B111" s="38">
        <v>20006405</v>
      </c>
      <c r="C111" s="39" t="s">
        <v>408</v>
      </c>
      <c r="D111" s="39" t="s">
        <v>409</v>
      </c>
      <c r="E111" s="40"/>
      <c r="F111" s="40">
        <v>1</v>
      </c>
      <c r="G111" s="41"/>
      <c r="H111" s="41"/>
      <c r="I111" s="42" t="s">
        <v>43</v>
      </c>
    </row>
    <row r="112" spans="1:9" x14ac:dyDescent="0.3">
      <c r="A112" s="38">
        <v>107</v>
      </c>
      <c r="B112" s="38">
        <v>20006174</v>
      </c>
      <c r="C112" s="39" t="s">
        <v>163</v>
      </c>
      <c r="D112" s="39" t="s">
        <v>134</v>
      </c>
      <c r="E112" s="40"/>
      <c r="F112" s="40">
        <v>1</v>
      </c>
      <c r="G112" s="41"/>
      <c r="H112" s="41"/>
      <c r="I112" s="42" t="s">
        <v>44</v>
      </c>
    </row>
    <row r="113" spans="1:9" x14ac:dyDescent="0.3">
      <c r="A113" s="38">
        <v>108</v>
      </c>
      <c r="B113" s="38">
        <v>20006407</v>
      </c>
      <c r="C113" s="39" t="s">
        <v>255</v>
      </c>
      <c r="D113" s="39" t="s">
        <v>410</v>
      </c>
      <c r="E113" s="40"/>
      <c r="F113" s="40">
        <v>1</v>
      </c>
      <c r="G113" s="41"/>
      <c r="H113" s="41"/>
      <c r="I113" s="42" t="s">
        <v>45</v>
      </c>
    </row>
    <row r="114" spans="1:9" x14ac:dyDescent="0.3">
      <c r="A114" s="38">
        <v>109</v>
      </c>
      <c r="B114" s="38">
        <v>20006398</v>
      </c>
      <c r="C114" s="39" t="s">
        <v>135</v>
      </c>
      <c r="D114" s="39" t="s">
        <v>136</v>
      </c>
      <c r="E114" s="40"/>
      <c r="F114" s="40">
        <v>2</v>
      </c>
      <c r="G114" s="41"/>
      <c r="H114" s="41"/>
      <c r="I114" s="42" t="s">
        <v>393</v>
      </c>
    </row>
    <row r="115" spans="1:9" x14ac:dyDescent="0.3">
      <c r="A115" s="38">
        <v>110</v>
      </c>
      <c r="B115" s="38">
        <v>20007161</v>
      </c>
      <c r="C115" s="39" t="s">
        <v>137</v>
      </c>
      <c r="D115" s="39" t="s">
        <v>137</v>
      </c>
      <c r="E115" s="40"/>
      <c r="F115" s="40">
        <v>2</v>
      </c>
      <c r="G115" s="41"/>
      <c r="H115" s="41"/>
      <c r="I115" s="42" t="s">
        <v>46</v>
      </c>
    </row>
    <row r="116" spans="1:9" x14ac:dyDescent="0.3">
      <c r="A116" s="38">
        <v>111</v>
      </c>
      <c r="B116" s="38">
        <v>20006612</v>
      </c>
      <c r="C116" s="39" t="s">
        <v>369</v>
      </c>
      <c r="D116" s="39" t="s">
        <v>175</v>
      </c>
      <c r="E116" s="40"/>
      <c r="F116" s="40">
        <v>1</v>
      </c>
      <c r="G116" s="41"/>
      <c r="H116" s="41"/>
      <c r="I116" s="42" t="s">
        <v>47</v>
      </c>
    </row>
    <row r="117" spans="1:9" x14ac:dyDescent="0.3">
      <c r="A117" s="38">
        <v>112</v>
      </c>
      <c r="B117" s="38">
        <v>20007733</v>
      </c>
      <c r="C117" s="39" t="s">
        <v>174</v>
      </c>
      <c r="D117" s="39" t="s">
        <v>297</v>
      </c>
      <c r="E117" s="40"/>
      <c r="F117" s="40">
        <v>1</v>
      </c>
      <c r="G117" s="41"/>
      <c r="H117" s="41"/>
      <c r="I117" s="42" t="s">
        <v>48</v>
      </c>
    </row>
    <row r="118" spans="1:9" x14ac:dyDescent="0.3">
      <c r="A118" s="38">
        <v>113</v>
      </c>
      <c r="B118" s="38">
        <v>20000464</v>
      </c>
      <c r="C118" s="39" t="s">
        <v>336</v>
      </c>
      <c r="D118" s="39" t="s">
        <v>335</v>
      </c>
      <c r="E118" s="40"/>
      <c r="F118" s="40">
        <v>1</v>
      </c>
      <c r="G118" s="41"/>
      <c r="H118" s="41"/>
      <c r="I118" s="42" t="s">
        <v>258</v>
      </c>
    </row>
    <row r="119" spans="1:9" x14ac:dyDescent="0.3">
      <c r="A119" s="38">
        <v>114</v>
      </c>
      <c r="B119" s="38">
        <v>20008553</v>
      </c>
      <c r="C119" s="44" t="s">
        <v>332</v>
      </c>
      <c r="D119" s="47" t="s">
        <v>304</v>
      </c>
      <c r="E119" s="40"/>
      <c r="F119" s="40">
        <v>1</v>
      </c>
      <c r="G119" s="41"/>
      <c r="H119" s="41"/>
      <c r="I119" s="42" t="s">
        <v>259</v>
      </c>
    </row>
    <row r="120" spans="1:9" x14ac:dyDescent="0.3">
      <c r="A120" s="38">
        <v>115</v>
      </c>
      <c r="B120" s="38">
        <v>20007732</v>
      </c>
      <c r="C120" s="39" t="s">
        <v>256</v>
      </c>
      <c r="D120" s="39" t="s">
        <v>264</v>
      </c>
      <c r="E120" s="40"/>
      <c r="F120" s="40">
        <v>1</v>
      </c>
      <c r="G120" s="41"/>
      <c r="H120" s="41"/>
      <c r="I120" s="42" t="s">
        <v>260</v>
      </c>
    </row>
    <row r="121" spans="1:9" x14ac:dyDescent="0.3">
      <c r="A121" s="38">
        <v>116</v>
      </c>
      <c r="B121" s="38">
        <v>20007731</v>
      </c>
      <c r="C121" s="39" t="s">
        <v>257</v>
      </c>
      <c r="D121" s="39" t="s">
        <v>265</v>
      </c>
      <c r="E121" s="40"/>
      <c r="F121" s="40">
        <v>1</v>
      </c>
      <c r="G121" s="41"/>
      <c r="H121" s="41"/>
      <c r="I121" s="42" t="s">
        <v>261</v>
      </c>
    </row>
    <row r="122" spans="1:9" x14ac:dyDescent="0.3">
      <c r="A122" s="38">
        <v>117</v>
      </c>
      <c r="B122" s="38">
        <v>20008554</v>
      </c>
      <c r="C122" s="39" t="s">
        <v>341</v>
      </c>
      <c r="D122" s="39"/>
      <c r="E122" s="40"/>
      <c r="F122" s="40">
        <v>1</v>
      </c>
      <c r="G122" s="41"/>
      <c r="H122" s="41"/>
      <c r="I122" s="42" t="s">
        <v>262</v>
      </c>
    </row>
    <row r="123" spans="1:9" x14ac:dyDescent="0.3">
      <c r="A123" s="38">
        <v>118</v>
      </c>
      <c r="B123" s="1">
        <v>20007725</v>
      </c>
      <c r="C123" s="2" t="s">
        <v>165</v>
      </c>
      <c r="D123" s="2" t="s">
        <v>138</v>
      </c>
      <c r="E123" s="4"/>
      <c r="F123" s="4">
        <v>1</v>
      </c>
      <c r="G123" s="36"/>
      <c r="H123" s="36"/>
      <c r="I123" s="37" t="s">
        <v>263</v>
      </c>
    </row>
    <row r="124" spans="1:9" x14ac:dyDescent="0.3">
      <c r="A124" s="38">
        <v>119</v>
      </c>
      <c r="B124" s="38">
        <v>20001716</v>
      </c>
      <c r="C124" s="39" t="s">
        <v>372</v>
      </c>
      <c r="D124" s="39" t="s">
        <v>373</v>
      </c>
      <c r="E124" s="40"/>
      <c r="F124" s="40">
        <v>1</v>
      </c>
      <c r="G124" s="41"/>
      <c r="H124" s="41"/>
      <c r="I124" s="42" t="s">
        <v>375</v>
      </c>
    </row>
    <row r="125" spans="1:9" x14ac:dyDescent="0.3">
      <c r="A125" s="38">
        <v>120</v>
      </c>
      <c r="B125" s="38">
        <v>20008911</v>
      </c>
      <c r="C125" s="39" t="s">
        <v>376</v>
      </c>
      <c r="D125" s="39" t="s">
        <v>377</v>
      </c>
      <c r="E125" s="40"/>
      <c r="F125" s="40">
        <v>2</v>
      </c>
      <c r="G125" s="41"/>
      <c r="H125" s="41"/>
      <c r="I125" s="42" t="s">
        <v>384</v>
      </c>
    </row>
    <row r="126" spans="1:9" x14ac:dyDescent="0.3">
      <c r="A126" s="38">
        <v>121</v>
      </c>
      <c r="B126" s="38">
        <v>20008557</v>
      </c>
      <c r="C126" s="39" t="s">
        <v>378</v>
      </c>
      <c r="D126" s="39"/>
      <c r="E126" s="40"/>
      <c r="F126" s="40">
        <v>8</v>
      </c>
      <c r="G126" s="41"/>
      <c r="H126" s="41"/>
      <c r="I126" s="42" t="s">
        <v>382</v>
      </c>
    </row>
    <row r="127" spans="1:9" x14ac:dyDescent="0.3">
      <c r="A127" s="38">
        <v>122</v>
      </c>
      <c r="B127" s="38">
        <v>20007199</v>
      </c>
      <c r="C127" s="39" t="s">
        <v>386</v>
      </c>
      <c r="D127" s="39" t="s">
        <v>390</v>
      </c>
      <c r="E127" s="40"/>
      <c r="F127" s="40">
        <v>2</v>
      </c>
      <c r="G127" s="41"/>
      <c r="H127" s="41"/>
      <c r="I127" s="42" t="s">
        <v>388</v>
      </c>
    </row>
    <row r="128" spans="1:9" x14ac:dyDescent="0.3">
      <c r="A128" s="38">
        <v>123</v>
      </c>
      <c r="B128" s="38">
        <v>20009312</v>
      </c>
      <c r="C128" s="39" t="s">
        <v>387</v>
      </c>
      <c r="D128" s="39" t="s">
        <v>391</v>
      </c>
      <c r="E128" s="40"/>
      <c r="F128" s="40">
        <v>2</v>
      </c>
      <c r="G128" s="41"/>
      <c r="H128" s="41"/>
      <c r="I128" s="42" t="s">
        <v>389</v>
      </c>
    </row>
  </sheetData>
  <mergeCells count="5">
    <mergeCell ref="A1:E2"/>
    <mergeCell ref="A3:B3"/>
    <mergeCell ref="E3:H3"/>
    <mergeCell ref="A4:B4"/>
    <mergeCell ref="E4:H4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zoomScale="95" zoomScaleNormal="95" workbookViewId="0">
      <selection activeCell="G125" sqref="G7:G125"/>
    </sheetView>
  </sheetViews>
  <sheetFormatPr defaultRowHeight="16.5" x14ac:dyDescent="0.3"/>
  <cols>
    <col min="1" max="1" width="5.875" customWidth="1"/>
    <col min="2" max="2" width="4.125" bestFit="1" customWidth="1"/>
    <col min="3" max="3" width="11.625" bestFit="1" customWidth="1"/>
    <col min="4" max="4" width="27.25" bestFit="1" customWidth="1"/>
    <col min="5" max="5" width="48.375" bestFit="1" customWidth="1"/>
    <col min="6" max="6" width="8.25" bestFit="1" customWidth="1"/>
    <col min="7" max="7" width="56.125" customWidth="1"/>
    <col min="8" max="8" width="31" bestFit="1" customWidth="1"/>
  </cols>
  <sheetData>
    <row r="1" spans="1:9" ht="16.5" customHeight="1" x14ac:dyDescent="0.3"/>
    <row r="2" spans="1:9" ht="16.5" customHeight="1" x14ac:dyDescent="0.3"/>
    <row r="3" spans="1:9" ht="16.5" customHeight="1" x14ac:dyDescent="0.3"/>
    <row r="4" spans="1:9" ht="16.5" customHeight="1" x14ac:dyDescent="0.3"/>
    <row r="6" spans="1:9" x14ac:dyDescent="0.3">
      <c r="A6" t="s">
        <v>182</v>
      </c>
      <c r="B6" s="3"/>
      <c r="C6" s="3" t="s">
        <v>51</v>
      </c>
      <c r="D6" s="3" t="s">
        <v>52</v>
      </c>
      <c r="E6" s="3" t="s">
        <v>53</v>
      </c>
      <c r="F6" s="3" t="s">
        <v>54</v>
      </c>
      <c r="G6" s="3" t="s">
        <v>166</v>
      </c>
    </row>
    <row r="7" spans="1:9" x14ac:dyDescent="0.3">
      <c r="B7" s="1">
        <v>1</v>
      </c>
      <c r="C7" s="1">
        <v>20006335</v>
      </c>
      <c r="D7" s="2" t="s">
        <v>49</v>
      </c>
      <c r="E7" s="2" t="s">
        <v>50</v>
      </c>
      <c r="F7" s="4">
        <v>10</v>
      </c>
      <c r="G7" s="2" t="s">
        <v>183</v>
      </c>
    </row>
    <row r="8" spans="1:9" s="9" customFormat="1" x14ac:dyDescent="0.3">
      <c r="B8" s="1">
        <v>2</v>
      </c>
      <c r="C8" s="1">
        <v>20000399</v>
      </c>
      <c r="D8" s="2" t="s">
        <v>167</v>
      </c>
      <c r="E8" s="2" t="s">
        <v>309</v>
      </c>
      <c r="F8" s="6">
        <v>17</v>
      </c>
      <c r="G8" s="2" t="s">
        <v>308</v>
      </c>
    </row>
    <row r="9" spans="1:9" x14ac:dyDescent="0.3">
      <c r="B9" s="1">
        <v>3</v>
      </c>
      <c r="C9" s="1">
        <v>20000415</v>
      </c>
      <c r="D9" s="2" t="s">
        <v>168</v>
      </c>
      <c r="E9" s="2" t="s">
        <v>56</v>
      </c>
      <c r="F9" s="6">
        <v>7</v>
      </c>
      <c r="G9" s="2" t="s">
        <v>176</v>
      </c>
    </row>
    <row r="10" spans="1:9" s="9" customFormat="1" x14ac:dyDescent="0.3">
      <c r="B10" s="1">
        <v>4</v>
      </c>
      <c r="C10" s="1">
        <v>20000403</v>
      </c>
      <c r="D10" s="2" t="s">
        <v>305</v>
      </c>
      <c r="E10" s="2" t="s">
        <v>306</v>
      </c>
      <c r="F10" s="6">
        <v>4</v>
      </c>
      <c r="G10" s="2" t="s">
        <v>307</v>
      </c>
    </row>
    <row r="11" spans="1:9" x14ac:dyDescent="0.3">
      <c r="B11" s="1">
        <v>5</v>
      </c>
      <c r="C11" s="1">
        <v>20006444</v>
      </c>
      <c r="D11" s="2" t="s">
        <v>58</v>
      </c>
      <c r="E11" s="2" t="s">
        <v>59</v>
      </c>
      <c r="F11" s="6">
        <v>13</v>
      </c>
      <c r="G11" s="2" t="s">
        <v>184</v>
      </c>
    </row>
    <row r="12" spans="1:9" x14ac:dyDescent="0.3">
      <c r="B12" s="1">
        <v>6</v>
      </c>
      <c r="C12" s="1">
        <v>20006347</v>
      </c>
      <c r="D12" s="2" t="s">
        <v>60</v>
      </c>
      <c r="E12" s="2" t="s">
        <v>61</v>
      </c>
      <c r="F12" s="6">
        <v>2</v>
      </c>
      <c r="G12" s="2" t="s">
        <v>0</v>
      </c>
    </row>
    <row r="13" spans="1:9" s="12" customFormat="1" x14ac:dyDescent="0.3">
      <c r="B13" s="11">
        <v>7</v>
      </c>
      <c r="C13" s="11">
        <v>20008540</v>
      </c>
      <c r="D13" s="13" t="s">
        <v>287</v>
      </c>
      <c r="E13" s="13" t="s">
        <v>299</v>
      </c>
      <c r="F13" s="5">
        <v>4</v>
      </c>
      <c r="G13" s="13" t="s">
        <v>288</v>
      </c>
      <c r="I13" s="12">
        <v>120</v>
      </c>
    </row>
    <row r="14" spans="1:9" x14ac:dyDescent="0.3">
      <c r="B14" s="1">
        <v>8</v>
      </c>
      <c r="C14" s="1">
        <v>20006334</v>
      </c>
      <c r="D14" s="2" t="s">
        <v>177</v>
      </c>
      <c r="E14" s="2" t="s">
        <v>62</v>
      </c>
      <c r="F14" s="6">
        <v>10</v>
      </c>
      <c r="G14" s="2" t="s">
        <v>185</v>
      </c>
    </row>
    <row r="15" spans="1:9" x14ac:dyDescent="0.3">
      <c r="B15" s="1">
        <v>9</v>
      </c>
      <c r="C15" s="1">
        <v>20006333</v>
      </c>
      <c r="D15" s="2" t="s">
        <v>63</v>
      </c>
      <c r="E15" s="2" t="s">
        <v>64</v>
      </c>
      <c r="F15" s="6">
        <v>14</v>
      </c>
      <c r="G15" s="2" t="s">
        <v>186</v>
      </c>
    </row>
    <row r="16" spans="1:9" x14ac:dyDescent="0.3">
      <c r="B16" s="1">
        <v>10</v>
      </c>
      <c r="C16" s="1">
        <v>20003659</v>
      </c>
      <c r="D16" s="2" t="s">
        <v>65</v>
      </c>
      <c r="E16" s="2" t="s">
        <v>66</v>
      </c>
      <c r="F16" s="6">
        <v>8</v>
      </c>
      <c r="G16" s="2" t="s">
        <v>187</v>
      </c>
    </row>
    <row r="17" spans="2:10" s="12" customFormat="1" ht="24" x14ac:dyDescent="0.3">
      <c r="B17" s="11">
        <v>11</v>
      </c>
      <c r="C17" s="11">
        <v>20008541</v>
      </c>
      <c r="D17" s="13" t="s">
        <v>290</v>
      </c>
      <c r="E17" s="13" t="s">
        <v>289</v>
      </c>
      <c r="F17" s="5">
        <v>24</v>
      </c>
      <c r="G17" s="14" t="s">
        <v>291</v>
      </c>
      <c r="I17" s="12">
        <v>744</v>
      </c>
    </row>
    <row r="18" spans="2:10" s="12" customFormat="1" ht="24" x14ac:dyDescent="0.3">
      <c r="B18" s="11">
        <v>12</v>
      </c>
      <c r="C18" s="11">
        <v>20006463</v>
      </c>
      <c r="D18" s="13" t="s">
        <v>292</v>
      </c>
      <c r="E18" s="13" t="s">
        <v>293</v>
      </c>
      <c r="F18" s="15">
        <v>18</v>
      </c>
      <c r="G18" s="14" t="s">
        <v>188</v>
      </c>
      <c r="I18" s="12">
        <v>558</v>
      </c>
    </row>
    <row r="19" spans="2:10" x14ac:dyDescent="0.3">
      <c r="B19" s="1">
        <v>13</v>
      </c>
      <c r="C19" s="1">
        <v>20000421</v>
      </c>
      <c r="D19" s="2" t="s">
        <v>67</v>
      </c>
      <c r="E19" s="2" t="s">
        <v>55</v>
      </c>
      <c r="F19" s="6">
        <v>2</v>
      </c>
      <c r="G19" s="2" t="s">
        <v>1</v>
      </c>
    </row>
    <row r="20" spans="2:10" x14ac:dyDescent="0.3">
      <c r="B20" s="1">
        <v>14</v>
      </c>
      <c r="C20" s="1">
        <v>20006072</v>
      </c>
      <c r="D20" s="2" t="s">
        <v>180</v>
      </c>
      <c r="E20" s="2" t="s">
        <v>181</v>
      </c>
      <c r="F20" s="6">
        <v>2</v>
      </c>
      <c r="G20" s="2" t="s">
        <v>178</v>
      </c>
    </row>
    <row r="21" spans="2:10" s="9" customFormat="1" x14ac:dyDescent="0.3">
      <c r="B21" s="1">
        <v>15</v>
      </c>
      <c r="C21" s="1">
        <v>20002526</v>
      </c>
      <c r="D21" s="2" t="s">
        <v>312</v>
      </c>
      <c r="E21" s="2"/>
      <c r="F21" s="6">
        <v>2</v>
      </c>
      <c r="G21" s="2" t="s">
        <v>189</v>
      </c>
    </row>
    <row r="22" spans="2:10" x14ac:dyDescent="0.3">
      <c r="B22" s="1">
        <v>16</v>
      </c>
      <c r="C22" s="1">
        <v>20002360</v>
      </c>
      <c r="D22" s="2" t="s">
        <v>68</v>
      </c>
      <c r="E22" s="2" t="s">
        <v>57</v>
      </c>
      <c r="F22" s="6">
        <v>4</v>
      </c>
      <c r="G22" s="2" t="s">
        <v>190</v>
      </c>
    </row>
    <row r="23" spans="2:10" x14ac:dyDescent="0.3">
      <c r="B23" s="1">
        <v>17</v>
      </c>
      <c r="C23" s="1">
        <v>20000449</v>
      </c>
      <c r="D23" s="2" t="s">
        <v>69</v>
      </c>
      <c r="E23" s="2" t="s">
        <v>70</v>
      </c>
      <c r="F23" s="6">
        <v>1</v>
      </c>
      <c r="G23" s="2" t="s">
        <v>191</v>
      </c>
    </row>
    <row r="24" spans="2:10" x14ac:dyDescent="0.3">
      <c r="B24" s="1">
        <v>18</v>
      </c>
      <c r="C24" s="1">
        <v>20000445</v>
      </c>
      <c r="D24" s="2" t="s">
        <v>71</v>
      </c>
      <c r="E24" s="2" t="s">
        <v>72</v>
      </c>
      <c r="F24" s="6">
        <v>1</v>
      </c>
      <c r="G24" s="2" t="s">
        <v>192</v>
      </c>
    </row>
    <row r="25" spans="2:10" s="12" customFormat="1" x14ac:dyDescent="0.3">
      <c r="B25" s="11">
        <v>19</v>
      </c>
      <c r="C25" s="11">
        <v>20004609</v>
      </c>
      <c r="D25" s="13" t="s">
        <v>313</v>
      </c>
      <c r="E25" s="13" t="s">
        <v>314</v>
      </c>
      <c r="F25" s="5">
        <v>1</v>
      </c>
      <c r="G25" s="13" t="s">
        <v>193</v>
      </c>
      <c r="I25" s="12">
        <v>100</v>
      </c>
      <c r="J25" s="12" t="s">
        <v>333</v>
      </c>
    </row>
    <row r="26" spans="2:10" s="12" customFormat="1" x14ac:dyDescent="0.3">
      <c r="B26" s="11">
        <v>20</v>
      </c>
      <c r="C26" s="11">
        <v>20008542</v>
      </c>
      <c r="D26" s="13" t="s">
        <v>279</v>
      </c>
      <c r="E26" s="13"/>
      <c r="F26" s="5">
        <v>1</v>
      </c>
      <c r="G26" s="13" t="s">
        <v>194</v>
      </c>
      <c r="I26" s="12">
        <v>31</v>
      </c>
      <c r="J26" s="12" t="s">
        <v>334</v>
      </c>
    </row>
    <row r="27" spans="2:10" x14ac:dyDescent="0.3">
      <c r="B27" s="1">
        <v>23</v>
      </c>
      <c r="C27" s="1">
        <v>20007177</v>
      </c>
      <c r="D27" s="2" t="s">
        <v>281</v>
      </c>
      <c r="E27" s="2" t="s">
        <v>280</v>
      </c>
      <c r="F27" s="6">
        <v>1</v>
      </c>
      <c r="G27" s="2" t="s">
        <v>195</v>
      </c>
    </row>
    <row r="28" spans="2:10" x14ac:dyDescent="0.3">
      <c r="B28" s="1">
        <v>24</v>
      </c>
      <c r="C28" s="1">
        <v>20007682</v>
      </c>
      <c r="D28" s="2" t="s">
        <v>317</v>
      </c>
      <c r="E28" s="2" t="s">
        <v>318</v>
      </c>
      <c r="F28" s="6">
        <v>1</v>
      </c>
      <c r="G28" s="2" t="s">
        <v>196</v>
      </c>
    </row>
    <row r="29" spans="2:10" x14ac:dyDescent="0.3">
      <c r="B29" s="1">
        <v>25</v>
      </c>
      <c r="C29" s="1">
        <v>20006723</v>
      </c>
      <c r="D29" s="2" t="s">
        <v>73</v>
      </c>
      <c r="E29" s="2" t="s">
        <v>55</v>
      </c>
      <c r="F29" s="6">
        <v>1</v>
      </c>
      <c r="G29" s="2" t="s">
        <v>197</v>
      </c>
    </row>
    <row r="30" spans="2:10" x14ac:dyDescent="0.3">
      <c r="B30" s="1">
        <v>26</v>
      </c>
      <c r="C30" s="1">
        <v>20007680</v>
      </c>
      <c r="D30" s="2" t="s">
        <v>74</v>
      </c>
      <c r="E30" s="2" t="s">
        <v>75</v>
      </c>
      <c r="F30" s="6">
        <v>3</v>
      </c>
      <c r="G30" s="2" t="s">
        <v>198</v>
      </c>
    </row>
    <row r="31" spans="2:10" x14ac:dyDescent="0.3">
      <c r="B31" s="1">
        <v>27</v>
      </c>
      <c r="C31" s="1">
        <v>20006355</v>
      </c>
      <c r="D31" s="2" t="s">
        <v>3</v>
      </c>
      <c r="E31" s="2"/>
      <c r="F31" s="6">
        <v>2</v>
      </c>
      <c r="G31" s="2" t="s">
        <v>2</v>
      </c>
    </row>
    <row r="32" spans="2:10" s="12" customFormat="1" x14ac:dyDescent="0.3">
      <c r="B32" s="11">
        <v>28</v>
      </c>
      <c r="C32" s="11">
        <v>20008543</v>
      </c>
      <c r="D32" s="13" t="s">
        <v>199</v>
      </c>
      <c r="E32" s="13" t="s">
        <v>283</v>
      </c>
      <c r="F32" s="5">
        <v>4</v>
      </c>
      <c r="G32" s="13" t="s">
        <v>200</v>
      </c>
      <c r="I32" s="12">
        <v>124</v>
      </c>
    </row>
    <row r="33" spans="2:9" x14ac:dyDescent="0.3">
      <c r="B33" s="1">
        <v>29</v>
      </c>
      <c r="C33" s="1">
        <v>20006353</v>
      </c>
      <c r="D33" s="2" t="s">
        <v>5</v>
      </c>
      <c r="E33" s="2" t="s">
        <v>5</v>
      </c>
      <c r="F33" s="6">
        <v>2</v>
      </c>
      <c r="G33" s="2" t="s">
        <v>4</v>
      </c>
    </row>
    <row r="34" spans="2:9" x14ac:dyDescent="0.3">
      <c r="B34" s="1">
        <v>30</v>
      </c>
      <c r="C34" s="1">
        <v>20006350</v>
      </c>
      <c r="D34" s="2" t="s">
        <v>7</v>
      </c>
      <c r="E34" s="2" t="s">
        <v>7</v>
      </c>
      <c r="F34" s="6">
        <v>2</v>
      </c>
      <c r="G34" s="2" t="s">
        <v>6</v>
      </c>
    </row>
    <row r="35" spans="2:9" x14ac:dyDescent="0.3">
      <c r="B35" s="1">
        <v>31</v>
      </c>
      <c r="C35" s="1">
        <v>20007693</v>
      </c>
      <c r="D35" s="2" t="s">
        <v>76</v>
      </c>
      <c r="E35" s="2"/>
      <c r="F35" s="6">
        <v>2</v>
      </c>
      <c r="G35" s="2" t="s">
        <v>8</v>
      </c>
    </row>
    <row r="36" spans="2:9" x14ac:dyDescent="0.3">
      <c r="B36" s="1">
        <v>32</v>
      </c>
      <c r="C36" s="1">
        <v>20007232</v>
      </c>
      <c r="D36" s="2" t="s">
        <v>315</v>
      </c>
      <c r="E36" s="2" t="s">
        <v>316</v>
      </c>
      <c r="F36" s="6">
        <v>4</v>
      </c>
      <c r="G36" s="2" t="s">
        <v>201</v>
      </c>
    </row>
    <row r="37" spans="2:9" s="12" customFormat="1" x14ac:dyDescent="0.3">
      <c r="B37" s="11">
        <v>33</v>
      </c>
      <c r="C37" s="11">
        <v>20006730</v>
      </c>
      <c r="D37" s="13" t="s">
        <v>302</v>
      </c>
      <c r="E37" s="13"/>
      <c r="F37" s="5">
        <v>1</v>
      </c>
      <c r="G37" s="13" t="s">
        <v>202</v>
      </c>
      <c r="I37" s="12">
        <v>31</v>
      </c>
    </row>
    <row r="38" spans="2:9" s="12" customFormat="1" ht="24" x14ac:dyDescent="0.3">
      <c r="B38" s="11">
        <v>34</v>
      </c>
      <c r="C38" s="11">
        <v>20008259</v>
      </c>
      <c r="D38" s="13" t="s">
        <v>301</v>
      </c>
      <c r="E38" s="13" t="s">
        <v>294</v>
      </c>
      <c r="F38" s="5">
        <v>34</v>
      </c>
      <c r="G38" s="14" t="s">
        <v>340</v>
      </c>
      <c r="I38" s="12">
        <v>1900</v>
      </c>
    </row>
    <row r="39" spans="2:9" s="12" customFormat="1" x14ac:dyDescent="0.3">
      <c r="B39" s="11">
        <v>35</v>
      </c>
      <c r="C39" s="11">
        <v>20008544</v>
      </c>
      <c r="D39" s="13" t="s">
        <v>300</v>
      </c>
      <c r="E39" s="13"/>
      <c r="F39" s="5">
        <v>1</v>
      </c>
      <c r="G39" s="13" t="s">
        <v>9</v>
      </c>
      <c r="I39" s="12">
        <v>25</v>
      </c>
    </row>
    <row r="40" spans="2:9" s="12" customFormat="1" x14ac:dyDescent="0.3">
      <c r="B40" s="11">
        <v>36</v>
      </c>
      <c r="C40" s="11">
        <v>20008545</v>
      </c>
      <c r="D40" s="13" t="s">
        <v>204</v>
      </c>
      <c r="E40" s="13" t="s">
        <v>285</v>
      </c>
      <c r="F40" s="5">
        <v>2</v>
      </c>
      <c r="G40" s="13" t="s">
        <v>203</v>
      </c>
      <c r="I40" s="12">
        <v>62</v>
      </c>
    </row>
    <row r="41" spans="2:9" x14ac:dyDescent="0.3">
      <c r="B41" s="1">
        <v>37</v>
      </c>
      <c r="C41" s="1">
        <v>20006369</v>
      </c>
      <c r="D41" s="2" t="s">
        <v>78</v>
      </c>
      <c r="E41" s="2" t="s">
        <v>77</v>
      </c>
      <c r="F41" s="6">
        <v>3</v>
      </c>
      <c r="G41" s="2" t="s">
        <v>205</v>
      </c>
    </row>
    <row r="42" spans="2:9" x14ac:dyDescent="0.3">
      <c r="B42" s="1">
        <v>38</v>
      </c>
      <c r="C42" s="1">
        <v>20006370</v>
      </c>
      <c r="D42" s="2" t="s">
        <v>206</v>
      </c>
      <c r="E42" s="2" t="s">
        <v>282</v>
      </c>
      <c r="F42" s="6">
        <v>1</v>
      </c>
      <c r="G42" s="2" t="s">
        <v>207</v>
      </c>
    </row>
    <row r="43" spans="2:9" x14ac:dyDescent="0.3">
      <c r="B43" s="1">
        <v>39</v>
      </c>
      <c r="C43" s="1">
        <v>20007698</v>
      </c>
      <c r="D43" s="2" t="s">
        <v>79</v>
      </c>
      <c r="E43" s="2" t="s">
        <v>80</v>
      </c>
      <c r="F43" s="6">
        <v>8</v>
      </c>
      <c r="G43" s="2" t="s">
        <v>208</v>
      </c>
    </row>
    <row r="44" spans="2:9" s="12" customFormat="1" x14ac:dyDescent="0.3">
      <c r="B44" s="11">
        <v>40</v>
      </c>
      <c r="C44" s="11">
        <v>20008546</v>
      </c>
      <c r="D44" s="13" t="s">
        <v>209</v>
      </c>
      <c r="E44" s="13" t="s">
        <v>284</v>
      </c>
      <c r="F44" s="5">
        <v>2</v>
      </c>
      <c r="G44" s="13" t="s">
        <v>210</v>
      </c>
      <c r="I44" s="12">
        <v>62</v>
      </c>
    </row>
    <row r="45" spans="2:9" s="12" customFormat="1" x14ac:dyDescent="0.3">
      <c r="B45" s="11">
        <v>41</v>
      </c>
      <c r="C45" s="11">
        <v>20007704</v>
      </c>
      <c r="D45" s="13" t="s">
        <v>82</v>
      </c>
      <c r="E45" s="13" t="s">
        <v>81</v>
      </c>
      <c r="F45" s="5">
        <v>2</v>
      </c>
      <c r="G45" s="13" t="s">
        <v>10</v>
      </c>
      <c r="I45" s="12">
        <v>60</v>
      </c>
    </row>
    <row r="46" spans="2:9" s="12" customFormat="1" x14ac:dyDescent="0.3">
      <c r="B46" s="11">
        <v>42</v>
      </c>
      <c r="C46" s="11">
        <v>20008547</v>
      </c>
      <c r="D46" s="13" t="s">
        <v>211</v>
      </c>
      <c r="E46" s="13" t="s">
        <v>286</v>
      </c>
      <c r="F46" s="5">
        <v>1</v>
      </c>
      <c r="G46" s="13" t="s">
        <v>212</v>
      </c>
      <c r="I46" s="12">
        <v>31</v>
      </c>
    </row>
    <row r="47" spans="2:9" x14ac:dyDescent="0.3">
      <c r="B47" s="11">
        <v>43</v>
      </c>
      <c r="C47" s="11">
        <v>20008611</v>
      </c>
      <c r="D47" s="13" t="s">
        <v>342</v>
      </c>
      <c r="E47" s="13" t="s">
        <v>343</v>
      </c>
      <c r="F47" s="5">
        <v>1</v>
      </c>
      <c r="G47" s="13" t="s">
        <v>11</v>
      </c>
    </row>
    <row r="48" spans="2:9" x14ac:dyDescent="0.3">
      <c r="B48" s="1">
        <v>44</v>
      </c>
      <c r="C48" s="1">
        <v>20006372</v>
      </c>
      <c r="D48" s="2" t="s">
        <v>13</v>
      </c>
      <c r="E48" s="2" t="s">
        <v>83</v>
      </c>
      <c r="F48" s="6">
        <v>2</v>
      </c>
      <c r="G48" s="2" t="s">
        <v>12</v>
      </c>
    </row>
    <row r="49" spans="2:9" x14ac:dyDescent="0.3">
      <c r="B49" s="1">
        <v>45</v>
      </c>
      <c r="C49" s="1">
        <v>20007169</v>
      </c>
      <c r="D49" s="2" t="s">
        <v>15</v>
      </c>
      <c r="E49" s="2"/>
      <c r="F49" s="6">
        <v>2</v>
      </c>
      <c r="G49" s="2" t="s">
        <v>14</v>
      </c>
    </row>
    <row r="50" spans="2:9" x14ac:dyDescent="0.3">
      <c r="B50" s="1">
        <v>46</v>
      </c>
      <c r="C50" s="1">
        <v>20003777</v>
      </c>
      <c r="D50" s="2" t="s">
        <v>84</v>
      </c>
      <c r="E50" s="2"/>
      <c r="F50" s="6">
        <v>2</v>
      </c>
      <c r="G50" s="2" t="s">
        <v>16</v>
      </c>
    </row>
    <row r="51" spans="2:9" x14ac:dyDescent="0.3">
      <c r="B51" s="1">
        <v>47</v>
      </c>
      <c r="C51" s="1">
        <v>20007705</v>
      </c>
      <c r="D51" s="2" t="s">
        <v>18</v>
      </c>
      <c r="E51" s="2"/>
      <c r="F51" s="6">
        <v>1</v>
      </c>
      <c r="G51" s="2" t="s">
        <v>17</v>
      </c>
    </row>
    <row r="52" spans="2:9" s="12" customFormat="1" x14ac:dyDescent="0.3">
      <c r="B52" s="11">
        <v>48</v>
      </c>
      <c r="C52" s="11">
        <v>20000477</v>
      </c>
      <c r="D52" s="13" t="s">
        <v>19</v>
      </c>
      <c r="E52" s="13" t="s">
        <v>85</v>
      </c>
      <c r="F52" s="5">
        <v>1</v>
      </c>
      <c r="G52" s="13" t="s">
        <v>179</v>
      </c>
      <c r="I52" s="12">
        <v>30</v>
      </c>
    </row>
    <row r="53" spans="2:9" s="12" customFormat="1" x14ac:dyDescent="0.3">
      <c r="B53" s="11">
        <v>49</v>
      </c>
      <c r="C53" s="11">
        <v>20000473</v>
      </c>
      <c r="D53" s="13" t="s">
        <v>21</v>
      </c>
      <c r="E53" s="13" t="s">
        <v>86</v>
      </c>
      <c r="F53" s="5">
        <v>1</v>
      </c>
      <c r="G53" s="13" t="s">
        <v>20</v>
      </c>
      <c r="I53" s="12">
        <v>30</v>
      </c>
    </row>
    <row r="54" spans="2:9" s="12" customFormat="1" x14ac:dyDescent="0.3">
      <c r="B54" s="11">
        <v>50</v>
      </c>
      <c r="C54" s="11">
        <v>20003132</v>
      </c>
      <c r="D54" s="13" t="s">
        <v>89</v>
      </c>
      <c r="E54" s="13" t="s">
        <v>90</v>
      </c>
      <c r="F54" s="5">
        <v>2</v>
      </c>
      <c r="G54" s="13" t="s">
        <v>213</v>
      </c>
      <c r="I54" s="12">
        <v>60</v>
      </c>
    </row>
    <row r="55" spans="2:9" s="12" customFormat="1" x14ac:dyDescent="0.3">
      <c r="B55" s="11">
        <v>51</v>
      </c>
      <c r="C55" s="11">
        <v>20000706</v>
      </c>
      <c r="D55" s="13" t="s">
        <v>87</v>
      </c>
      <c r="E55" s="13" t="s">
        <v>88</v>
      </c>
      <c r="F55" s="5">
        <v>1</v>
      </c>
      <c r="G55" s="13" t="s">
        <v>214</v>
      </c>
      <c r="I55" s="12">
        <v>30</v>
      </c>
    </row>
    <row r="56" spans="2:9" x14ac:dyDescent="0.3">
      <c r="B56" s="1">
        <v>52</v>
      </c>
      <c r="C56" s="1">
        <v>20007166</v>
      </c>
      <c r="D56" s="2" t="s">
        <v>319</v>
      </c>
      <c r="E56" s="2" t="s">
        <v>320</v>
      </c>
      <c r="F56" s="6">
        <v>1</v>
      </c>
      <c r="G56" s="2" t="s">
        <v>22</v>
      </c>
    </row>
    <row r="57" spans="2:9" x14ac:dyDescent="0.3">
      <c r="B57" s="1">
        <v>53</v>
      </c>
      <c r="C57" s="1">
        <v>20006438</v>
      </c>
      <c r="D57" s="2" t="s">
        <v>216</v>
      </c>
      <c r="E57" s="2" t="s">
        <v>295</v>
      </c>
      <c r="F57" s="6">
        <v>1</v>
      </c>
      <c r="G57" s="2" t="s">
        <v>215</v>
      </c>
    </row>
    <row r="58" spans="2:9" x14ac:dyDescent="0.3">
      <c r="B58" s="1">
        <v>54</v>
      </c>
      <c r="C58" s="1">
        <v>20006691</v>
      </c>
      <c r="D58" s="2" t="s">
        <v>92</v>
      </c>
      <c r="E58" s="2" t="s">
        <v>91</v>
      </c>
      <c r="F58" s="6">
        <v>4</v>
      </c>
      <c r="G58" s="2" t="s">
        <v>217</v>
      </c>
    </row>
    <row r="59" spans="2:9" s="12" customFormat="1" x14ac:dyDescent="0.3">
      <c r="B59" s="11">
        <v>55</v>
      </c>
      <c r="C59" s="11">
        <v>20002555</v>
      </c>
      <c r="D59" s="13" t="s">
        <v>93</v>
      </c>
      <c r="E59" s="13" t="s">
        <v>94</v>
      </c>
      <c r="F59" s="5">
        <v>3</v>
      </c>
      <c r="G59" s="13" t="s">
        <v>23</v>
      </c>
      <c r="I59" s="12">
        <v>100</v>
      </c>
    </row>
    <row r="60" spans="2:9" s="12" customFormat="1" x14ac:dyDescent="0.3">
      <c r="B60" s="11">
        <v>56</v>
      </c>
      <c r="C60" s="11">
        <v>20008548</v>
      </c>
      <c r="D60" s="13" t="s">
        <v>97</v>
      </c>
      <c r="E60" s="13" t="s">
        <v>97</v>
      </c>
      <c r="F60" s="5">
        <v>1</v>
      </c>
      <c r="G60" s="13" t="s">
        <v>24</v>
      </c>
      <c r="I60" s="12">
        <v>100</v>
      </c>
    </row>
    <row r="61" spans="2:9" s="9" customFormat="1" x14ac:dyDescent="0.3">
      <c r="B61" s="1">
        <v>57</v>
      </c>
      <c r="C61" s="11">
        <v>20000626</v>
      </c>
      <c r="D61" s="2" t="s">
        <v>95</v>
      </c>
      <c r="E61" s="2" t="s">
        <v>96</v>
      </c>
      <c r="F61" s="6">
        <v>9</v>
      </c>
      <c r="G61" s="2" t="s">
        <v>218</v>
      </c>
    </row>
    <row r="62" spans="2:9" x14ac:dyDescent="0.3">
      <c r="B62" s="1">
        <v>58</v>
      </c>
      <c r="C62" s="1">
        <v>20007714</v>
      </c>
      <c r="D62" s="2" t="s">
        <v>98</v>
      </c>
      <c r="E62" s="2"/>
      <c r="F62" s="6">
        <v>1</v>
      </c>
      <c r="G62" s="2" t="s">
        <v>25</v>
      </c>
    </row>
    <row r="63" spans="2:9" s="12" customFormat="1" x14ac:dyDescent="0.3">
      <c r="B63" s="11">
        <v>59</v>
      </c>
      <c r="C63" s="11">
        <v>20004967</v>
      </c>
      <c r="D63" s="13" t="s">
        <v>99</v>
      </c>
      <c r="E63" s="13" t="s">
        <v>100</v>
      </c>
      <c r="F63" s="5">
        <v>1</v>
      </c>
      <c r="G63" s="13" t="s">
        <v>26</v>
      </c>
      <c r="I63" s="12">
        <v>100</v>
      </c>
    </row>
    <row r="64" spans="2:9" x14ac:dyDescent="0.3">
      <c r="B64" s="1">
        <v>60</v>
      </c>
      <c r="C64" s="1">
        <v>20002400</v>
      </c>
      <c r="D64" s="2" t="s">
        <v>170</v>
      </c>
      <c r="E64" s="2" t="s">
        <v>101</v>
      </c>
      <c r="F64" s="6">
        <v>1</v>
      </c>
      <c r="G64" s="2" t="s">
        <v>27</v>
      </c>
    </row>
    <row r="65" spans="2:9" x14ac:dyDescent="0.3">
      <c r="B65" s="1">
        <v>61</v>
      </c>
      <c r="C65" s="1">
        <v>20004970</v>
      </c>
      <c r="D65" s="2" t="s">
        <v>102</v>
      </c>
      <c r="E65" s="2" t="s">
        <v>103</v>
      </c>
      <c r="F65" s="6">
        <v>2</v>
      </c>
      <c r="G65" s="2" t="s">
        <v>28</v>
      </c>
    </row>
    <row r="66" spans="2:9" s="12" customFormat="1" x14ac:dyDescent="0.3">
      <c r="B66" s="11">
        <v>62</v>
      </c>
      <c r="C66" s="11">
        <v>20000604</v>
      </c>
      <c r="D66" s="13" t="s">
        <v>104</v>
      </c>
      <c r="E66" s="13" t="s">
        <v>105</v>
      </c>
      <c r="F66" s="5">
        <v>1</v>
      </c>
      <c r="G66" s="13" t="s">
        <v>29</v>
      </c>
      <c r="I66" s="12">
        <v>100</v>
      </c>
    </row>
    <row r="67" spans="2:9" ht="24" x14ac:dyDescent="0.3">
      <c r="B67" s="1">
        <v>63</v>
      </c>
      <c r="C67" s="1">
        <v>20000549</v>
      </c>
      <c r="D67" s="2" t="s">
        <v>106</v>
      </c>
      <c r="E67" s="2" t="s">
        <v>107</v>
      </c>
      <c r="F67" s="6">
        <v>29</v>
      </c>
      <c r="G67" s="7" t="s">
        <v>219</v>
      </c>
    </row>
    <row r="68" spans="2:9" x14ac:dyDescent="0.3">
      <c r="B68" s="1">
        <v>64</v>
      </c>
      <c r="C68" s="1">
        <v>20000562</v>
      </c>
      <c r="D68" s="2" t="s">
        <v>108</v>
      </c>
      <c r="E68" s="2" t="s">
        <v>109</v>
      </c>
      <c r="F68" s="6">
        <v>4</v>
      </c>
      <c r="G68" s="2" t="s">
        <v>220</v>
      </c>
    </row>
    <row r="69" spans="2:9" x14ac:dyDescent="0.3">
      <c r="B69" s="1">
        <v>65</v>
      </c>
      <c r="C69" s="1">
        <v>20000583</v>
      </c>
      <c r="D69" s="2" t="s">
        <v>110</v>
      </c>
      <c r="E69" s="2" t="s">
        <v>111</v>
      </c>
      <c r="F69" s="6">
        <v>6</v>
      </c>
      <c r="G69" s="2" t="s">
        <v>221</v>
      </c>
    </row>
    <row r="70" spans="2:9" x14ac:dyDescent="0.3">
      <c r="B70" s="1">
        <v>66</v>
      </c>
      <c r="C70" s="1">
        <v>20000565</v>
      </c>
      <c r="D70" s="2" t="s">
        <v>147</v>
      </c>
      <c r="E70" s="2" t="s">
        <v>148</v>
      </c>
      <c r="F70" s="6">
        <v>9</v>
      </c>
      <c r="G70" s="2" t="s">
        <v>222</v>
      </c>
    </row>
    <row r="71" spans="2:9" x14ac:dyDescent="0.3">
      <c r="B71" s="1">
        <v>67</v>
      </c>
      <c r="C71" s="1">
        <v>20000570</v>
      </c>
      <c r="D71" s="2" t="s">
        <v>329</v>
      </c>
      <c r="E71" s="2" t="s">
        <v>330</v>
      </c>
      <c r="F71" s="6">
        <v>1</v>
      </c>
      <c r="G71" s="2" t="s">
        <v>30</v>
      </c>
    </row>
    <row r="72" spans="2:9" x14ac:dyDescent="0.3">
      <c r="B72" s="1">
        <v>68</v>
      </c>
      <c r="C72" s="1">
        <v>20006390</v>
      </c>
      <c r="D72" s="2" t="s">
        <v>115</v>
      </c>
      <c r="E72" s="2" t="s">
        <v>112</v>
      </c>
      <c r="F72" s="6">
        <v>1</v>
      </c>
      <c r="G72" s="2" t="s">
        <v>223</v>
      </c>
    </row>
    <row r="73" spans="2:9" x14ac:dyDescent="0.3">
      <c r="B73" s="1">
        <v>69</v>
      </c>
      <c r="C73" s="1">
        <v>20006418</v>
      </c>
      <c r="D73" s="2" t="s">
        <v>113</v>
      </c>
      <c r="E73" s="2" t="s">
        <v>114</v>
      </c>
      <c r="F73" s="6">
        <v>1</v>
      </c>
      <c r="G73" s="2" t="s">
        <v>31</v>
      </c>
    </row>
    <row r="74" spans="2:9" x14ac:dyDescent="0.3">
      <c r="B74" s="1">
        <v>70</v>
      </c>
      <c r="C74" s="1">
        <v>20000580</v>
      </c>
      <c r="D74" s="2" t="s">
        <v>117</v>
      </c>
      <c r="E74" s="2" t="s">
        <v>118</v>
      </c>
      <c r="F74" s="6">
        <v>1</v>
      </c>
      <c r="G74" s="2" t="s">
        <v>224</v>
      </c>
    </row>
    <row r="75" spans="2:9" x14ac:dyDescent="0.3">
      <c r="B75" s="1">
        <v>71</v>
      </c>
      <c r="C75" s="1">
        <v>20002561</v>
      </c>
      <c r="D75" s="2" t="s">
        <v>171</v>
      </c>
      <c r="E75" s="2" t="s">
        <v>116</v>
      </c>
      <c r="F75" s="6">
        <v>1</v>
      </c>
      <c r="G75" s="2" t="s">
        <v>32</v>
      </c>
    </row>
    <row r="76" spans="2:9" x14ac:dyDescent="0.3">
      <c r="B76" s="1">
        <v>72</v>
      </c>
      <c r="C76" s="1">
        <v>20000594</v>
      </c>
      <c r="D76" s="2" t="s">
        <v>119</v>
      </c>
      <c r="E76" s="2" t="s">
        <v>120</v>
      </c>
      <c r="F76" s="6">
        <v>1</v>
      </c>
      <c r="G76" s="2" t="s">
        <v>33</v>
      </c>
    </row>
    <row r="77" spans="2:9" x14ac:dyDescent="0.3">
      <c r="B77" s="1">
        <v>73</v>
      </c>
      <c r="C77" s="1">
        <v>20003771</v>
      </c>
      <c r="D77" s="2" t="s">
        <v>121</v>
      </c>
      <c r="E77" s="2" t="s">
        <v>122</v>
      </c>
      <c r="F77" s="6">
        <v>2</v>
      </c>
      <c r="G77" s="2" t="s">
        <v>225</v>
      </c>
    </row>
    <row r="78" spans="2:9" x14ac:dyDescent="0.3">
      <c r="B78" s="1">
        <v>74</v>
      </c>
      <c r="C78" s="1">
        <v>20000585</v>
      </c>
      <c r="D78" s="2" t="s">
        <v>125</v>
      </c>
      <c r="E78" s="2" t="s">
        <v>126</v>
      </c>
      <c r="F78" s="6">
        <v>2</v>
      </c>
      <c r="G78" s="2" t="s">
        <v>34</v>
      </c>
    </row>
    <row r="79" spans="2:9" x14ac:dyDescent="0.3">
      <c r="B79" s="1">
        <v>75</v>
      </c>
      <c r="C79" s="1">
        <v>20006594</v>
      </c>
      <c r="D79" s="2" t="s">
        <v>123</v>
      </c>
      <c r="E79" s="2" t="s">
        <v>124</v>
      </c>
      <c r="F79" s="6">
        <v>2</v>
      </c>
      <c r="G79" s="2" t="s">
        <v>226</v>
      </c>
    </row>
    <row r="80" spans="2:9" x14ac:dyDescent="0.3">
      <c r="B80" s="1">
        <v>76</v>
      </c>
      <c r="C80" s="1">
        <v>20006377</v>
      </c>
      <c r="D80" s="2" t="s">
        <v>321</v>
      </c>
      <c r="E80" s="2" t="s">
        <v>322</v>
      </c>
      <c r="F80" s="6">
        <v>3</v>
      </c>
      <c r="G80" s="2" t="s">
        <v>227</v>
      </c>
    </row>
    <row r="81" spans="2:9" s="12" customFormat="1" x14ac:dyDescent="0.3">
      <c r="B81" s="11">
        <v>77</v>
      </c>
      <c r="C81" s="11">
        <v>20008549</v>
      </c>
      <c r="D81" s="13" t="s">
        <v>229</v>
      </c>
      <c r="E81" s="13"/>
      <c r="F81" s="5">
        <v>8</v>
      </c>
      <c r="G81" s="13" t="s">
        <v>228</v>
      </c>
      <c r="I81" s="12">
        <v>300</v>
      </c>
    </row>
    <row r="82" spans="2:9" x14ac:dyDescent="0.3">
      <c r="B82" s="1">
        <v>78</v>
      </c>
      <c r="C82" s="1">
        <v>20000592</v>
      </c>
      <c r="D82" s="2" t="s">
        <v>127</v>
      </c>
      <c r="E82" s="2" t="s">
        <v>128</v>
      </c>
      <c r="F82" s="6">
        <v>2</v>
      </c>
      <c r="G82" s="2" t="s">
        <v>230</v>
      </c>
    </row>
    <row r="83" spans="2:9" x14ac:dyDescent="0.3">
      <c r="B83" s="1">
        <v>79</v>
      </c>
      <c r="C83" s="1">
        <v>20002559</v>
      </c>
      <c r="D83" s="2" t="s">
        <v>172</v>
      </c>
      <c r="E83" s="2" t="s">
        <v>129</v>
      </c>
      <c r="F83" s="6">
        <v>2</v>
      </c>
      <c r="G83" s="2" t="s">
        <v>231</v>
      </c>
    </row>
    <row r="84" spans="2:9" x14ac:dyDescent="0.3">
      <c r="B84" s="1">
        <v>80</v>
      </c>
      <c r="C84" s="1">
        <v>20002514</v>
      </c>
      <c r="D84" s="2" t="s">
        <v>130</v>
      </c>
      <c r="E84" s="2" t="s">
        <v>131</v>
      </c>
      <c r="F84" s="6">
        <v>2</v>
      </c>
      <c r="G84" s="2" t="s">
        <v>232</v>
      </c>
    </row>
    <row r="85" spans="2:9" x14ac:dyDescent="0.3">
      <c r="B85" s="1">
        <v>81</v>
      </c>
      <c r="C85" s="1">
        <v>20007709</v>
      </c>
      <c r="D85" s="2" t="s">
        <v>169</v>
      </c>
      <c r="E85" s="2" t="s">
        <v>169</v>
      </c>
      <c r="F85" s="6">
        <v>2</v>
      </c>
      <c r="G85" s="2" t="s">
        <v>35</v>
      </c>
    </row>
    <row r="86" spans="2:9" x14ac:dyDescent="0.3">
      <c r="B86" s="1">
        <v>82</v>
      </c>
      <c r="C86" s="1">
        <v>20000595</v>
      </c>
      <c r="D86" s="2" t="s">
        <v>139</v>
      </c>
      <c r="E86" s="2" t="s">
        <v>140</v>
      </c>
      <c r="F86" s="6">
        <v>3</v>
      </c>
      <c r="G86" s="2" t="s">
        <v>233</v>
      </c>
    </row>
    <row r="87" spans="2:9" x14ac:dyDescent="0.3">
      <c r="B87" s="1">
        <v>83</v>
      </c>
      <c r="C87" s="1">
        <v>20000606</v>
      </c>
      <c r="D87" s="2" t="s">
        <v>141</v>
      </c>
      <c r="E87" s="2" t="s">
        <v>142</v>
      </c>
      <c r="F87" s="6">
        <v>4</v>
      </c>
      <c r="G87" s="2" t="s">
        <v>234</v>
      </c>
    </row>
    <row r="88" spans="2:9" x14ac:dyDescent="0.3">
      <c r="B88" s="1">
        <v>84</v>
      </c>
      <c r="C88" s="1">
        <v>20000621</v>
      </c>
      <c r="D88" s="2" t="s">
        <v>143</v>
      </c>
      <c r="E88" s="2" t="s">
        <v>144</v>
      </c>
      <c r="F88" s="6">
        <v>3</v>
      </c>
      <c r="G88" s="2" t="s">
        <v>235</v>
      </c>
    </row>
    <row r="89" spans="2:9" x14ac:dyDescent="0.3">
      <c r="B89" s="1">
        <v>85</v>
      </c>
      <c r="C89" s="1">
        <v>20006381</v>
      </c>
      <c r="D89" s="2" t="s">
        <v>145</v>
      </c>
      <c r="E89" s="2" t="s">
        <v>146</v>
      </c>
      <c r="F89" s="6">
        <v>2</v>
      </c>
      <c r="G89" s="2" t="s">
        <v>236</v>
      </c>
    </row>
    <row r="90" spans="2:9" s="9" customFormat="1" x14ac:dyDescent="0.3">
      <c r="B90" s="1">
        <v>86</v>
      </c>
      <c r="C90" s="1">
        <v>20006386</v>
      </c>
      <c r="D90" s="2" t="s">
        <v>149</v>
      </c>
      <c r="E90" s="2" t="s">
        <v>150</v>
      </c>
      <c r="F90" s="6">
        <v>3</v>
      </c>
      <c r="G90" s="2" t="s">
        <v>331</v>
      </c>
    </row>
    <row r="91" spans="2:9" s="9" customFormat="1" x14ac:dyDescent="0.3">
      <c r="B91" s="1">
        <v>87</v>
      </c>
      <c r="C91" s="1">
        <v>20003607</v>
      </c>
      <c r="D91" s="2" t="s">
        <v>151</v>
      </c>
      <c r="E91" s="2" t="s">
        <v>150</v>
      </c>
      <c r="F91" s="6">
        <v>2</v>
      </c>
      <c r="G91" s="2" t="s">
        <v>36</v>
      </c>
    </row>
    <row r="92" spans="2:9" s="9" customFormat="1" x14ac:dyDescent="0.3">
      <c r="B92" s="1">
        <v>88</v>
      </c>
      <c r="C92" s="1">
        <v>20007716</v>
      </c>
      <c r="D92" s="2" t="s">
        <v>152</v>
      </c>
      <c r="E92" s="2" t="s">
        <v>150</v>
      </c>
      <c r="F92" s="6">
        <v>1</v>
      </c>
      <c r="G92" s="2" t="s">
        <v>37</v>
      </c>
    </row>
    <row r="93" spans="2:9" s="9" customFormat="1" x14ac:dyDescent="0.3">
      <c r="B93" s="1">
        <v>89</v>
      </c>
      <c r="C93" s="1">
        <v>20007721</v>
      </c>
      <c r="D93" s="2" t="s">
        <v>153</v>
      </c>
      <c r="E93" s="2"/>
      <c r="F93" s="6">
        <v>1</v>
      </c>
      <c r="G93" s="2" t="s">
        <v>38</v>
      </c>
    </row>
    <row r="94" spans="2:9" s="12" customFormat="1" x14ac:dyDescent="0.3">
      <c r="B94" s="11">
        <v>90</v>
      </c>
      <c r="C94" s="11">
        <v>20000596</v>
      </c>
      <c r="D94" s="13" t="s">
        <v>154</v>
      </c>
      <c r="E94" s="13" t="s">
        <v>155</v>
      </c>
      <c r="F94" s="5">
        <v>1</v>
      </c>
      <c r="G94" s="13" t="s">
        <v>39</v>
      </c>
      <c r="I94" s="12">
        <v>100</v>
      </c>
    </row>
    <row r="95" spans="2:9" s="9" customFormat="1" x14ac:dyDescent="0.3">
      <c r="B95" s="1">
        <v>91</v>
      </c>
      <c r="C95" s="1">
        <v>20007722</v>
      </c>
      <c r="D95" s="2" t="s">
        <v>156</v>
      </c>
      <c r="E95" s="2"/>
      <c r="F95" s="6">
        <v>1</v>
      </c>
      <c r="G95" s="2" t="s">
        <v>40</v>
      </c>
    </row>
    <row r="96" spans="2:9" s="12" customFormat="1" x14ac:dyDescent="0.3">
      <c r="B96" s="11">
        <v>92</v>
      </c>
      <c r="C96" s="11">
        <v>20008550</v>
      </c>
      <c r="D96" s="13" t="s">
        <v>237</v>
      </c>
      <c r="E96" s="13"/>
      <c r="F96" s="5">
        <v>2</v>
      </c>
      <c r="G96" s="13" t="s">
        <v>238</v>
      </c>
      <c r="I96" s="12">
        <v>100</v>
      </c>
    </row>
    <row r="97" spans="2:9" s="12" customFormat="1" x14ac:dyDescent="0.3">
      <c r="B97" s="11">
        <v>93</v>
      </c>
      <c r="C97" s="11">
        <v>20000566</v>
      </c>
      <c r="D97" s="13" t="s">
        <v>157</v>
      </c>
      <c r="E97" s="13" t="s">
        <v>158</v>
      </c>
      <c r="F97" s="5">
        <v>2</v>
      </c>
      <c r="G97" s="13" t="s">
        <v>239</v>
      </c>
      <c r="I97" s="12">
        <v>100</v>
      </c>
    </row>
    <row r="98" spans="2:9" s="12" customFormat="1" x14ac:dyDescent="0.3">
      <c r="B98" s="11">
        <v>94</v>
      </c>
      <c r="C98" s="11">
        <v>20001765</v>
      </c>
      <c r="D98" s="16" t="s">
        <v>266</v>
      </c>
      <c r="E98" s="13" t="s">
        <v>267</v>
      </c>
      <c r="F98" s="5">
        <v>1</v>
      </c>
      <c r="G98" s="17" t="s">
        <v>328</v>
      </c>
      <c r="I98" s="12">
        <v>100</v>
      </c>
    </row>
    <row r="99" spans="2:9" x14ac:dyDescent="0.3">
      <c r="B99" s="1">
        <v>96</v>
      </c>
      <c r="C99" s="1">
        <v>20000597</v>
      </c>
      <c r="D99" s="2" t="s">
        <v>310</v>
      </c>
      <c r="E99" s="2" t="s">
        <v>311</v>
      </c>
      <c r="F99" s="6">
        <v>1</v>
      </c>
      <c r="G99" s="10" t="s">
        <v>240</v>
      </c>
    </row>
    <row r="100" spans="2:9" s="9" customFormat="1" x14ac:dyDescent="0.3">
      <c r="B100" s="1">
        <v>97</v>
      </c>
      <c r="C100" s="11">
        <v>20000626</v>
      </c>
      <c r="D100" s="2" t="s">
        <v>268</v>
      </c>
      <c r="E100" s="2" t="s">
        <v>269</v>
      </c>
      <c r="F100" s="6">
        <v>1</v>
      </c>
      <c r="G100" s="10" t="s">
        <v>241</v>
      </c>
    </row>
    <row r="101" spans="2:9" s="12" customFormat="1" x14ac:dyDescent="0.3">
      <c r="B101" s="11">
        <v>98</v>
      </c>
      <c r="C101" s="11">
        <v>20008551</v>
      </c>
      <c r="D101" s="13" t="s">
        <v>270</v>
      </c>
      <c r="E101" s="13"/>
      <c r="F101" s="5">
        <v>1</v>
      </c>
      <c r="G101" s="18" t="s">
        <v>242</v>
      </c>
      <c r="I101" s="12">
        <v>100</v>
      </c>
    </row>
    <row r="102" spans="2:9" x14ac:dyDescent="0.3">
      <c r="B102" s="1">
        <v>99</v>
      </c>
      <c r="C102" s="1">
        <v>20002403</v>
      </c>
      <c r="D102" s="2" t="s">
        <v>253</v>
      </c>
      <c r="E102" s="2" t="s">
        <v>271</v>
      </c>
      <c r="F102" s="6">
        <v>1</v>
      </c>
      <c r="G102" s="10" t="s">
        <v>243</v>
      </c>
    </row>
    <row r="103" spans="2:9" s="12" customFormat="1" x14ac:dyDescent="0.3">
      <c r="B103" s="11">
        <v>100</v>
      </c>
      <c r="C103" s="11">
        <v>20008552</v>
      </c>
      <c r="D103" s="13" t="s">
        <v>254</v>
      </c>
      <c r="E103" s="13"/>
      <c r="F103" s="5">
        <v>1</v>
      </c>
      <c r="G103" s="18" t="s">
        <v>244</v>
      </c>
      <c r="H103" s="30"/>
      <c r="I103" s="12">
        <v>31</v>
      </c>
    </row>
    <row r="104" spans="2:9" s="12" customFormat="1" x14ac:dyDescent="0.3">
      <c r="B104" s="11">
        <v>101</v>
      </c>
      <c r="C104" s="11">
        <v>20006075</v>
      </c>
      <c r="D104" s="13" t="s">
        <v>296</v>
      </c>
      <c r="E104" s="13" t="s">
        <v>303</v>
      </c>
      <c r="F104" s="5">
        <v>1</v>
      </c>
      <c r="G104" s="18" t="s">
        <v>245</v>
      </c>
    </row>
    <row r="105" spans="2:9" x14ac:dyDescent="0.3">
      <c r="B105" s="1">
        <v>102</v>
      </c>
      <c r="C105" s="1">
        <v>20002740</v>
      </c>
      <c r="D105" s="2" t="s">
        <v>323</v>
      </c>
      <c r="E105" s="2" t="s">
        <v>324</v>
      </c>
      <c r="F105" s="6">
        <v>1</v>
      </c>
      <c r="G105" s="10" t="s">
        <v>246</v>
      </c>
    </row>
    <row r="106" spans="2:9" x14ac:dyDescent="0.3">
      <c r="B106" s="1">
        <v>103</v>
      </c>
      <c r="C106" s="1">
        <v>20006447</v>
      </c>
      <c r="D106" s="2" t="s">
        <v>252</v>
      </c>
      <c r="E106" s="2" t="s">
        <v>272</v>
      </c>
      <c r="F106" s="6">
        <v>1</v>
      </c>
      <c r="G106" s="10" t="s">
        <v>247</v>
      </c>
    </row>
    <row r="107" spans="2:9" x14ac:dyDescent="0.3">
      <c r="B107" s="1">
        <v>104</v>
      </c>
      <c r="C107" s="1">
        <v>20000607</v>
      </c>
      <c r="D107" s="2" t="s">
        <v>273</v>
      </c>
      <c r="E107" s="2" t="s">
        <v>274</v>
      </c>
      <c r="F107" s="6">
        <v>1</v>
      </c>
      <c r="G107" s="10" t="s">
        <v>248</v>
      </c>
    </row>
    <row r="108" spans="2:9" x14ac:dyDescent="0.3">
      <c r="B108" s="1">
        <v>105</v>
      </c>
      <c r="C108" s="1">
        <v>20002291</v>
      </c>
      <c r="D108" s="2" t="s">
        <v>275</v>
      </c>
      <c r="E108" s="2" t="s">
        <v>276</v>
      </c>
      <c r="F108" s="6">
        <v>1</v>
      </c>
      <c r="G108" s="10" t="s">
        <v>249</v>
      </c>
    </row>
    <row r="109" spans="2:9" s="9" customFormat="1" x14ac:dyDescent="0.3">
      <c r="B109" s="1">
        <v>106</v>
      </c>
      <c r="C109" s="20">
        <v>20000633</v>
      </c>
      <c r="D109" s="2" t="s">
        <v>277</v>
      </c>
      <c r="E109" s="2" t="s">
        <v>278</v>
      </c>
      <c r="F109" s="6">
        <v>1</v>
      </c>
      <c r="G109" s="10" t="s">
        <v>250</v>
      </c>
    </row>
    <row r="110" spans="2:9" x14ac:dyDescent="0.3">
      <c r="B110" s="1">
        <v>107</v>
      </c>
      <c r="C110" s="1">
        <v>20004986</v>
      </c>
      <c r="D110" s="2" t="s">
        <v>325</v>
      </c>
      <c r="E110" s="2" t="s">
        <v>326</v>
      </c>
      <c r="F110" s="6">
        <v>3</v>
      </c>
      <c r="G110" s="10" t="s">
        <v>251</v>
      </c>
    </row>
    <row r="111" spans="2:9" s="9" customFormat="1" x14ac:dyDescent="0.3">
      <c r="B111" s="1">
        <v>108</v>
      </c>
      <c r="C111" s="1">
        <v>20007172</v>
      </c>
      <c r="D111" s="2" t="s">
        <v>132</v>
      </c>
      <c r="E111" s="2" t="s">
        <v>159</v>
      </c>
      <c r="F111" s="6">
        <v>2</v>
      </c>
      <c r="G111" s="2" t="s">
        <v>41</v>
      </c>
    </row>
    <row r="112" spans="2:9" x14ac:dyDescent="0.3">
      <c r="B112" s="1">
        <v>109</v>
      </c>
      <c r="C112" s="1">
        <v>20005834</v>
      </c>
      <c r="D112" s="2" t="s">
        <v>160</v>
      </c>
      <c r="E112" s="2" t="s">
        <v>161</v>
      </c>
      <c r="F112" s="6">
        <v>1</v>
      </c>
      <c r="G112" s="2" t="s">
        <v>42</v>
      </c>
    </row>
    <row r="113" spans="2:9" x14ac:dyDescent="0.3">
      <c r="B113" s="1">
        <v>110</v>
      </c>
      <c r="C113" s="1">
        <v>20006405</v>
      </c>
      <c r="D113" s="2" t="s">
        <v>162</v>
      </c>
      <c r="E113" s="2" t="s">
        <v>133</v>
      </c>
      <c r="F113" s="6">
        <v>1</v>
      </c>
      <c r="G113" s="2" t="s">
        <v>43</v>
      </c>
    </row>
    <row r="114" spans="2:9" x14ac:dyDescent="0.3">
      <c r="B114" s="1">
        <v>111</v>
      </c>
      <c r="C114" s="1">
        <v>20006174</v>
      </c>
      <c r="D114" s="2" t="s">
        <v>163</v>
      </c>
      <c r="E114" s="2" t="s">
        <v>134</v>
      </c>
      <c r="F114" s="6">
        <v>1</v>
      </c>
      <c r="G114" s="2" t="s">
        <v>44</v>
      </c>
    </row>
    <row r="115" spans="2:9" x14ac:dyDescent="0.3">
      <c r="B115" s="1">
        <v>112</v>
      </c>
      <c r="C115" s="1">
        <v>20006407</v>
      </c>
      <c r="D115" s="2" t="s">
        <v>255</v>
      </c>
      <c r="E115" s="2" t="s">
        <v>164</v>
      </c>
      <c r="F115" s="6">
        <v>1</v>
      </c>
      <c r="G115" s="2" t="s">
        <v>45</v>
      </c>
    </row>
    <row r="116" spans="2:9" x14ac:dyDescent="0.3">
      <c r="B116" s="1">
        <v>113</v>
      </c>
      <c r="C116" s="1">
        <v>20006398</v>
      </c>
      <c r="D116" s="2" t="s">
        <v>135</v>
      </c>
      <c r="E116" s="2" t="s">
        <v>136</v>
      </c>
      <c r="F116" s="6">
        <v>2</v>
      </c>
      <c r="G116" s="2" t="s">
        <v>327</v>
      </c>
    </row>
    <row r="117" spans="2:9" x14ac:dyDescent="0.3">
      <c r="B117" s="1">
        <v>114</v>
      </c>
      <c r="C117" s="1">
        <v>20007161</v>
      </c>
      <c r="D117" s="2" t="s">
        <v>137</v>
      </c>
      <c r="E117" s="2" t="s">
        <v>137</v>
      </c>
      <c r="F117" s="6">
        <v>2</v>
      </c>
      <c r="G117" s="2" t="s">
        <v>46</v>
      </c>
    </row>
    <row r="118" spans="2:9" x14ac:dyDescent="0.3">
      <c r="B118" s="1">
        <v>115</v>
      </c>
      <c r="C118" s="1">
        <v>20006612</v>
      </c>
      <c r="D118" s="2" t="s">
        <v>173</v>
      </c>
      <c r="E118" s="2" t="s">
        <v>175</v>
      </c>
      <c r="F118" s="6">
        <v>1</v>
      </c>
      <c r="G118" s="2" t="s">
        <v>47</v>
      </c>
    </row>
    <row r="119" spans="2:9" x14ac:dyDescent="0.3">
      <c r="B119" s="1">
        <v>116</v>
      </c>
      <c r="C119" s="1">
        <v>20007733</v>
      </c>
      <c r="D119" s="2" t="s">
        <v>174</v>
      </c>
      <c r="E119" s="2" t="s">
        <v>297</v>
      </c>
      <c r="F119" s="6">
        <v>1</v>
      </c>
      <c r="G119" s="2" t="s">
        <v>48</v>
      </c>
    </row>
    <row r="120" spans="2:9" s="12" customFormat="1" x14ac:dyDescent="0.3">
      <c r="B120" s="11">
        <v>117</v>
      </c>
      <c r="C120" s="11">
        <v>20000464</v>
      </c>
      <c r="D120" s="13" t="s">
        <v>336</v>
      </c>
      <c r="E120" s="13" t="s">
        <v>335</v>
      </c>
      <c r="F120" s="5">
        <v>1</v>
      </c>
      <c r="G120" s="13" t="s">
        <v>258</v>
      </c>
      <c r="I120" s="12">
        <v>30</v>
      </c>
    </row>
    <row r="121" spans="2:9" s="12" customFormat="1" x14ac:dyDescent="0.3">
      <c r="B121" s="11">
        <v>118</v>
      </c>
      <c r="C121" s="11">
        <v>20008553</v>
      </c>
      <c r="D121" s="16" t="s">
        <v>332</v>
      </c>
      <c r="E121" s="19" t="s">
        <v>304</v>
      </c>
      <c r="F121" s="5">
        <v>1</v>
      </c>
      <c r="G121" s="13" t="s">
        <v>259</v>
      </c>
    </row>
    <row r="122" spans="2:9" x14ac:dyDescent="0.3">
      <c r="B122" s="1">
        <v>119</v>
      </c>
      <c r="C122" s="1">
        <v>20007732</v>
      </c>
      <c r="D122" s="8" t="s">
        <v>256</v>
      </c>
      <c r="E122" s="2" t="s">
        <v>264</v>
      </c>
      <c r="F122" s="4">
        <v>1</v>
      </c>
      <c r="G122" s="2" t="s">
        <v>260</v>
      </c>
    </row>
    <row r="123" spans="2:9" x14ac:dyDescent="0.3">
      <c r="B123" s="1">
        <v>120</v>
      </c>
      <c r="C123" s="1">
        <v>20007731</v>
      </c>
      <c r="D123" s="8" t="s">
        <v>257</v>
      </c>
      <c r="E123" s="2" t="s">
        <v>265</v>
      </c>
      <c r="F123" s="4">
        <v>1</v>
      </c>
      <c r="G123" s="2" t="s">
        <v>261</v>
      </c>
    </row>
    <row r="124" spans="2:9" s="12" customFormat="1" x14ac:dyDescent="0.3">
      <c r="B124" s="11">
        <v>121</v>
      </c>
      <c r="C124" s="11">
        <v>20008554</v>
      </c>
      <c r="D124" s="13" t="s">
        <v>341</v>
      </c>
      <c r="E124" s="13"/>
      <c r="F124" s="5">
        <v>1</v>
      </c>
      <c r="G124" s="13" t="s">
        <v>262</v>
      </c>
      <c r="I124" s="12">
        <v>50</v>
      </c>
    </row>
    <row r="125" spans="2:9" x14ac:dyDescent="0.3">
      <c r="B125" s="1">
        <v>122</v>
      </c>
      <c r="C125" s="1">
        <v>20007725</v>
      </c>
      <c r="D125" s="2" t="s">
        <v>165</v>
      </c>
      <c r="E125" s="2" t="s">
        <v>138</v>
      </c>
      <c r="F125" s="4">
        <v>1</v>
      </c>
      <c r="G125" s="2" t="s">
        <v>263</v>
      </c>
    </row>
  </sheetData>
  <autoFilter ref="A6:G6"/>
  <phoneticPr fontId="18" type="noConversion"/>
  <pageMargins left="0.74803149606299213" right="0.74803149606299213" top="0.59055118110236227" bottom="0.59055118110236227" header="0.51181102362204722" footer="0.5118110236220472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4"/>
  <sheetViews>
    <sheetView workbookViewId="0">
      <selection activeCell="D17" sqref="D17"/>
    </sheetView>
  </sheetViews>
  <sheetFormatPr defaultRowHeight="12" x14ac:dyDescent="0.3"/>
  <cols>
    <col min="1" max="1" width="4.125" style="21" bestFit="1" customWidth="1"/>
    <col min="2" max="2" width="11.625" style="21" bestFit="1" customWidth="1"/>
    <col min="3" max="3" width="27.25" style="21" bestFit="1" customWidth="1"/>
    <col min="4" max="4" width="39.875" style="21" customWidth="1"/>
    <col min="5" max="5" width="8.25" style="21" bestFit="1" customWidth="1"/>
    <col min="6" max="6" width="8.25" style="21" hidden="1" customWidth="1"/>
    <col min="7" max="16384" width="9" style="21"/>
  </cols>
  <sheetData>
    <row r="2" spans="1:8" x14ac:dyDescent="0.3">
      <c r="A2" s="22"/>
      <c r="B2" s="22" t="s">
        <v>51</v>
      </c>
      <c r="C2" s="22" t="s">
        <v>52</v>
      </c>
      <c r="D2" s="22" t="s">
        <v>53</v>
      </c>
      <c r="E2" s="22" t="s">
        <v>54</v>
      </c>
      <c r="F2" s="22"/>
      <c r="G2" s="22" t="s">
        <v>338</v>
      </c>
      <c r="H2" s="22" t="s">
        <v>339</v>
      </c>
    </row>
    <row r="3" spans="1:8" s="27" customFormat="1" x14ac:dyDescent="0.3">
      <c r="A3" s="23">
        <v>7</v>
      </c>
      <c r="B3" s="23"/>
      <c r="C3" s="24" t="s">
        <v>287</v>
      </c>
      <c r="D3" s="24" t="s">
        <v>299</v>
      </c>
      <c r="E3" s="25">
        <v>4</v>
      </c>
      <c r="F3" s="25">
        <f>SUM(E3*31)</f>
        <v>124</v>
      </c>
      <c r="G3" s="26">
        <v>120</v>
      </c>
      <c r="H3" s="26">
        <f>SUM(G3-F3)</f>
        <v>-4</v>
      </c>
    </row>
    <row r="4" spans="1:8" s="27" customFormat="1" x14ac:dyDescent="0.3">
      <c r="A4" s="23">
        <v>11</v>
      </c>
      <c r="B4" s="23"/>
      <c r="C4" s="24" t="s">
        <v>290</v>
      </c>
      <c r="D4" s="24" t="s">
        <v>289</v>
      </c>
      <c r="E4" s="25">
        <v>24</v>
      </c>
      <c r="F4" s="25">
        <f t="shared" ref="F4:F34" si="0">SUM(E4*31)</f>
        <v>744</v>
      </c>
      <c r="G4" s="26">
        <v>744</v>
      </c>
      <c r="H4" s="26">
        <f t="shared" ref="H4:H34" si="1">SUM(G4-F4)</f>
        <v>0</v>
      </c>
    </row>
    <row r="5" spans="1:8" s="27" customFormat="1" x14ac:dyDescent="0.3">
      <c r="A5" s="23">
        <v>12</v>
      </c>
      <c r="B5" s="23">
        <v>20006463</v>
      </c>
      <c r="C5" s="24" t="s">
        <v>292</v>
      </c>
      <c r="D5" s="24" t="s">
        <v>293</v>
      </c>
      <c r="E5" s="25">
        <v>18</v>
      </c>
      <c r="F5" s="25">
        <f t="shared" si="0"/>
        <v>558</v>
      </c>
      <c r="G5" s="26">
        <v>558</v>
      </c>
      <c r="H5" s="26">
        <f t="shared" si="1"/>
        <v>0</v>
      </c>
    </row>
    <row r="6" spans="1:8" s="27" customFormat="1" x14ac:dyDescent="0.3">
      <c r="A6" s="23">
        <v>19</v>
      </c>
      <c r="B6" s="23">
        <v>20004609</v>
      </c>
      <c r="C6" s="24" t="s">
        <v>313</v>
      </c>
      <c r="D6" s="28" t="s">
        <v>333</v>
      </c>
      <c r="E6" s="25">
        <v>1</v>
      </c>
      <c r="F6" s="25">
        <f t="shared" si="0"/>
        <v>31</v>
      </c>
      <c r="G6" s="26">
        <v>100</v>
      </c>
      <c r="H6" s="26">
        <f t="shared" si="1"/>
        <v>69</v>
      </c>
    </row>
    <row r="7" spans="1:8" s="27" customFormat="1" x14ac:dyDescent="0.3">
      <c r="A7" s="23">
        <v>20</v>
      </c>
      <c r="B7" s="23"/>
      <c r="C7" s="24" t="s">
        <v>279</v>
      </c>
      <c r="D7" s="28" t="s">
        <v>334</v>
      </c>
      <c r="E7" s="25">
        <v>1</v>
      </c>
      <c r="F7" s="25">
        <f t="shared" si="0"/>
        <v>31</v>
      </c>
      <c r="G7" s="26">
        <v>31</v>
      </c>
      <c r="H7" s="26">
        <f t="shared" si="1"/>
        <v>0</v>
      </c>
    </row>
    <row r="8" spans="1:8" s="27" customFormat="1" x14ac:dyDescent="0.3">
      <c r="A8" s="23">
        <v>28</v>
      </c>
      <c r="B8" s="23"/>
      <c r="C8" s="24" t="s">
        <v>199</v>
      </c>
      <c r="D8" s="24" t="s">
        <v>283</v>
      </c>
      <c r="E8" s="25">
        <v>4</v>
      </c>
      <c r="F8" s="25">
        <f t="shared" si="0"/>
        <v>124</v>
      </c>
      <c r="G8" s="26">
        <v>124</v>
      </c>
      <c r="H8" s="26">
        <f t="shared" si="1"/>
        <v>0</v>
      </c>
    </row>
    <row r="9" spans="1:8" s="27" customFormat="1" x14ac:dyDescent="0.3">
      <c r="A9" s="23">
        <v>33</v>
      </c>
      <c r="B9" s="23"/>
      <c r="C9" s="24" t="s">
        <v>302</v>
      </c>
      <c r="D9" s="24"/>
      <c r="E9" s="25">
        <v>1</v>
      </c>
      <c r="F9" s="25">
        <f t="shared" si="0"/>
        <v>31</v>
      </c>
      <c r="G9" s="26">
        <v>31</v>
      </c>
      <c r="H9" s="26">
        <f t="shared" si="1"/>
        <v>0</v>
      </c>
    </row>
    <row r="10" spans="1:8" s="27" customFormat="1" x14ac:dyDescent="0.3">
      <c r="A10" s="23">
        <v>34</v>
      </c>
      <c r="B10" s="23">
        <v>20008259</v>
      </c>
      <c r="C10" s="24" t="s">
        <v>301</v>
      </c>
      <c r="D10" s="24" t="s">
        <v>294</v>
      </c>
      <c r="E10" s="25">
        <v>44</v>
      </c>
      <c r="F10" s="25">
        <f t="shared" si="0"/>
        <v>1364</v>
      </c>
      <c r="G10" s="26">
        <v>1900</v>
      </c>
      <c r="H10" s="26">
        <f t="shared" si="1"/>
        <v>536</v>
      </c>
    </row>
    <row r="11" spans="1:8" s="27" customFormat="1" x14ac:dyDescent="0.3">
      <c r="A11" s="23">
        <v>35</v>
      </c>
      <c r="B11" s="23"/>
      <c r="C11" s="24" t="s">
        <v>300</v>
      </c>
      <c r="D11" s="24"/>
      <c r="E11" s="25">
        <v>1</v>
      </c>
      <c r="F11" s="25">
        <f t="shared" si="0"/>
        <v>31</v>
      </c>
      <c r="G11" s="26">
        <v>25</v>
      </c>
      <c r="H11" s="26">
        <f t="shared" si="1"/>
        <v>-6</v>
      </c>
    </row>
    <row r="12" spans="1:8" s="27" customFormat="1" x14ac:dyDescent="0.3">
      <c r="A12" s="23">
        <v>36</v>
      </c>
      <c r="B12" s="23"/>
      <c r="C12" s="24" t="s">
        <v>204</v>
      </c>
      <c r="D12" s="24" t="s">
        <v>285</v>
      </c>
      <c r="E12" s="25">
        <v>2</v>
      </c>
      <c r="F12" s="25">
        <f t="shared" si="0"/>
        <v>62</v>
      </c>
      <c r="G12" s="26">
        <v>62</v>
      </c>
      <c r="H12" s="26">
        <f t="shared" si="1"/>
        <v>0</v>
      </c>
    </row>
    <row r="13" spans="1:8" s="27" customFormat="1" x14ac:dyDescent="0.3">
      <c r="A13" s="23">
        <v>40</v>
      </c>
      <c r="B13" s="23"/>
      <c r="C13" s="24" t="s">
        <v>209</v>
      </c>
      <c r="D13" s="24" t="s">
        <v>284</v>
      </c>
      <c r="E13" s="25">
        <v>2</v>
      </c>
      <c r="F13" s="25">
        <f t="shared" si="0"/>
        <v>62</v>
      </c>
      <c r="G13" s="26">
        <v>62</v>
      </c>
      <c r="H13" s="26">
        <f t="shared" si="1"/>
        <v>0</v>
      </c>
    </row>
    <row r="14" spans="1:8" s="27" customFormat="1" x14ac:dyDescent="0.3">
      <c r="A14" s="23">
        <v>41</v>
      </c>
      <c r="B14" s="23">
        <v>20007704</v>
      </c>
      <c r="C14" s="24" t="s">
        <v>82</v>
      </c>
      <c r="D14" s="24" t="s">
        <v>81</v>
      </c>
      <c r="E14" s="25">
        <v>2</v>
      </c>
      <c r="F14" s="25">
        <f t="shared" si="0"/>
        <v>62</v>
      </c>
      <c r="G14" s="26">
        <v>60</v>
      </c>
      <c r="H14" s="26">
        <f t="shared" si="1"/>
        <v>-2</v>
      </c>
    </row>
    <row r="15" spans="1:8" s="27" customFormat="1" x14ac:dyDescent="0.3">
      <c r="A15" s="23">
        <v>42</v>
      </c>
      <c r="B15" s="23"/>
      <c r="C15" s="24" t="s">
        <v>211</v>
      </c>
      <c r="D15" s="24" t="s">
        <v>286</v>
      </c>
      <c r="E15" s="25">
        <v>1</v>
      </c>
      <c r="F15" s="25">
        <f t="shared" si="0"/>
        <v>31</v>
      </c>
      <c r="G15" s="26">
        <v>31</v>
      </c>
      <c r="H15" s="26">
        <f t="shared" si="1"/>
        <v>0</v>
      </c>
    </row>
    <row r="16" spans="1:8" s="27" customFormat="1" x14ac:dyDescent="0.3">
      <c r="A16" s="23">
        <v>48</v>
      </c>
      <c r="B16" s="23">
        <v>20000477</v>
      </c>
      <c r="C16" s="24" t="s">
        <v>19</v>
      </c>
      <c r="D16" s="24" t="s">
        <v>85</v>
      </c>
      <c r="E16" s="25">
        <v>1</v>
      </c>
      <c r="F16" s="25">
        <f t="shared" si="0"/>
        <v>31</v>
      </c>
      <c r="G16" s="26">
        <v>30</v>
      </c>
      <c r="H16" s="26">
        <f t="shared" si="1"/>
        <v>-1</v>
      </c>
    </row>
    <row r="17" spans="1:8" s="27" customFormat="1" x14ac:dyDescent="0.3">
      <c r="A17" s="23">
        <v>49</v>
      </c>
      <c r="B17" s="23">
        <v>20000473</v>
      </c>
      <c r="C17" s="24" t="s">
        <v>21</v>
      </c>
      <c r="D17" s="24" t="s">
        <v>86</v>
      </c>
      <c r="E17" s="25">
        <v>1</v>
      </c>
      <c r="F17" s="25">
        <f t="shared" si="0"/>
        <v>31</v>
      </c>
      <c r="G17" s="26">
        <v>30</v>
      </c>
      <c r="H17" s="26">
        <f t="shared" si="1"/>
        <v>-1</v>
      </c>
    </row>
    <row r="18" spans="1:8" s="27" customFormat="1" x14ac:dyDescent="0.3">
      <c r="A18" s="23">
        <v>50</v>
      </c>
      <c r="B18" s="23">
        <v>20003132</v>
      </c>
      <c r="C18" s="24" t="s">
        <v>89</v>
      </c>
      <c r="D18" s="24" t="s">
        <v>90</v>
      </c>
      <c r="E18" s="25">
        <v>2</v>
      </c>
      <c r="F18" s="25">
        <f t="shared" si="0"/>
        <v>62</v>
      </c>
      <c r="G18" s="26">
        <v>60</v>
      </c>
      <c r="H18" s="26">
        <f t="shared" si="1"/>
        <v>-2</v>
      </c>
    </row>
    <row r="19" spans="1:8" s="27" customFormat="1" x14ac:dyDescent="0.3">
      <c r="A19" s="23">
        <v>51</v>
      </c>
      <c r="B19" s="23">
        <v>20000706</v>
      </c>
      <c r="C19" s="24" t="s">
        <v>87</v>
      </c>
      <c r="D19" s="24" t="s">
        <v>88</v>
      </c>
      <c r="E19" s="25">
        <v>1</v>
      </c>
      <c r="F19" s="25">
        <f t="shared" si="0"/>
        <v>31</v>
      </c>
      <c r="G19" s="26">
        <v>30</v>
      </c>
      <c r="H19" s="26">
        <f t="shared" si="1"/>
        <v>-1</v>
      </c>
    </row>
    <row r="20" spans="1:8" s="27" customFormat="1" x14ac:dyDescent="0.3">
      <c r="A20" s="23">
        <v>55</v>
      </c>
      <c r="B20" s="23">
        <v>20002555</v>
      </c>
      <c r="C20" s="24" t="s">
        <v>93</v>
      </c>
      <c r="D20" s="24" t="s">
        <v>94</v>
      </c>
      <c r="E20" s="25">
        <v>3</v>
      </c>
      <c r="F20" s="25">
        <f t="shared" si="0"/>
        <v>93</v>
      </c>
      <c r="G20" s="26">
        <v>100</v>
      </c>
      <c r="H20" s="26">
        <f t="shared" si="1"/>
        <v>7</v>
      </c>
    </row>
    <row r="21" spans="1:8" s="27" customFormat="1" x14ac:dyDescent="0.3">
      <c r="A21" s="23">
        <v>56</v>
      </c>
      <c r="B21" s="23"/>
      <c r="C21" s="24" t="s">
        <v>97</v>
      </c>
      <c r="D21" s="24" t="s">
        <v>97</v>
      </c>
      <c r="E21" s="25">
        <v>1</v>
      </c>
      <c r="F21" s="25">
        <f t="shared" si="0"/>
        <v>31</v>
      </c>
      <c r="G21" s="26">
        <v>100</v>
      </c>
      <c r="H21" s="26">
        <f t="shared" si="1"/>
        <v>69</v>
      </c>
    </row>
    <row r="22" spans="1:8" s="27" customFormat="1" x14ac:dyDescent="0.3">
      <c r="A22" s="23">
        <v>59</v>
      </c>
      <c r="B22" s="23">
        <v>20004967</v>
      </c>
      <c r="C22" s="24" t="s">
        <v>99</v>
      </c>
      <c r="D22" s="24" t="s">
        <v>100</v>
      </c>
      <c r="E22" s="25">
        <v>1</v>
      </c>
      <c r="F22" s="25">
        <f t="shared" si="0"/>
        <v>31</v>
      </c>
      <c r="G22" s="26">
        <v>100</v>
      </c>
      <c r="H22" s="26">
        <f t="shared" si="1"/>
        <v>69</v>
      </c>
    </row>
    <row r="23" spans="1:8" s="27" customFormat="1" x14ac:dyDescent="0.3">
      <c r="A23" s="23">
        <v>62</v>
      </c>
      <c r="B23" s="23">
        <v>20000604</v>
      </c>
      <c r="C23" s="24" t="s">
        <v>104</v>
      </c>
      <c r="D23" s="24" t="s">
        <v>105</v>
      </c>
      <c r="E23" s="25">
        <v>1</v>
      </c>
      <c r="F23" s="25">
        <f t="shared" si="0"/>
        <v>31</v>
      </c>
      <c r="G23" s="26">
        <v>100</v>
      </c>
      <c r="H23" s="26">
        <f t="shared" si="1"/>
        <v>69</v>
      </c>
    </row>
    <row r="24" spans="1:8" s="27" customFormat="1" x14ac:dyDescent="0.3">
      <c r="A24" s="23">
        <v>77</v>
      </c>
      <c r="B24" s="23"/>
      <c r="C24" s="24" t="s">
        <v>229</v>
      </c>
      <c r="D24" s="24"/>
      <c r="E24" s="25">
        <v>8</v>
      </c>
      <c r="F24" s="25">
        <f t="shared" si="0"/>
        <v>248</v>
      </c>
      <c r="G24" s="26">
        <v>300</v>
      </c>
      <c r="H24" s="26">
        <f t="shared" si="1"/>
        <v>52</v>
      </c>
    </row>
    <row r="25" spans="1:8" s="27" customFormat="1" x14ac:dyDescent="0.3">
      <c r="A25" s="23">
        <v>90</v>
      </c>
      <c r="B25" s="23">
        <v>20000596</v>
      </c>
      <c r="C25" s="24" t="s">
        <v>154</v>
      </c>
      <c r="D25" s="24" t="s">
        <v>155</v>
      </c>
      <c r="E25" s="25">
        <v>1</v>
      </c>
      <c r="F25" s="25">
        <f t="shared" si="0"/>
        <v>31</v>
      </c>
      <c r="G25" s="26">
        <v>100</v>
      </c>
      <c r="H25" s="26">
        <f t="shared" si="1"/>
        <v>69</v>
      </c>
    </row>
    <row r="26" spans="1:8" s="27" customFormat="1" x14ac:dyDescent="0.3">
      <c r="A26" s="23">
        <v>92</v>
      </c>
      <c r="B26" s="23"/>
      <c r="C26" s="24" t="s">
        <v>237</v>
      </c>
      <c r="D26" s="24"/>
      <c r="E26" s="25">
        <v>2</v>
      </c>
      <c r="F26" s="25">
        <f t="shared" si="0"/>
        <v>62</v>
      </c>
      <c r="G26" s="26">
        <v>100</v>
      </c>
      <c r="H26" s="26">
        <f t="shared" si="1"/>
        <v>38</v>
      </c>
    </row>
    <row r="27" spans="1:8" s="27" customFormat="1" x14ac:dyDescent="0.3">
      <c r="A27" s="23">
        <v>93</v>
      </c>
      <c r="B27" s="23">
        <v>20000566</v>
      </c>
      <c r="C27" s="24" t="s">
        <v>157</v>
      </c>
      <c r="D27" s="24" t="s">
        <v>158</v>
      </c>
      <c r="E27" s="25">
        <v>2</v>
      </c>
      <c r="F27" s="25">
        <f t="shared" si="0"/>
        <v>62</v>
      </c>
      <c r="G27" s="26">
        <v>100</v>
      </c>
      <c r="H27" s="26">
        <f t="shared" si="1"/>
        <v>38</v>
      </c>
    </row>
    <row r="28" spans="1:8" s="27" customFormat="1" x14ac:dyDescent="0.3">
      <c r="A28" s="23">
        <v>94</v>
      </c>
      <c r="B28" s="23">
        <v>20001765</v>
      </c>
      <c r="C28" s="24" t="s">
        <v>266</v>
      </c>
      <c r="D28" s="24" t="s">
        <v>267</v>
      </c>
      <c r="E28" s="25">
        <v>1</v>
      </c>
      <c r="F28" s="25">
        <f t="shared" si="0"/>
        <v>31</v>
      </c>
      <c r="G28" s="26">
        <v>100</v>
      </c>
      <c r="H28" s="26">
        <f t="shared" si="1"/>
        <v>69</v>
      </c>
    </row>
    <row r="29" spans="1:8" s="27" customFormat="1" x14ac:dyDescent="0.3">
      <c r="A29" s="23">
        <v>98</v>
      </c>
      <c r="B29" s="23"/>
      <c r="C29" s="24" t="s">
        <v>270</v>
      </c>
      <c r="D29" s="24"/>
      <c r="E29" s="25">
        <v>1</v>
      </c>
      <c r="F29" s="25">
        <f t="shared" si="0"/>
        <v>31</v>
      </c>
      <c r="G29" s="26">
        <v>100</v>
      </c>
      <c r="H29" s="26">
        <f t="shared" si="1"/>
        <v>69</v>
      </c>
    </row>
    <row r="30" spans="1:8" s="27" customFormat="1" x14ac:dyDescent="0.3">
      <c r="A30" s="23">
        <v>100</v>
      </c>
      <c r="B30" s="23"/>
      <c r="C30" s="24" t="s">
        <v>254</v>
      </c>
      <c r="D30" s="24"/>
      <c r="E30" s="25">
        <v>1</v>
      </c>
      <c r="F30" s="25">
        <f t="shared" si="0"/>
        <v>31</v>
      </c>
      <c r="G30" s="26">
        <v>31</v>
      </c>
      <c r="H30" s="26">
        <f t="shared" si="1"/>
        <v>0</v>
      </c>
    </row>
    <row r="31" spans="1:8" s="27" customFormat="1" x14ac:dyDescent="0.3">
      <c r="A31" s="23">
        <v>101</v>
      </c>
      <c r="B31" s="23">
        <v>20006075</v>
      </c>
      <c r="C31" s="24" t="s">
        <v>296</v>
      </c>
      <c r="D31" s="24" t="s">
        <v>337</v>
      </c>
      <c r="E31" s="25">
        <v>1</v>
      </c>
      <c r="F31" s="25">
        <f t="shared" si="0"/>
        <v>31</v>
      </c>
      <c r="G31" s="26"/>
      <c r="H31" s="26">
        <f t="shared" si="1"/>
        <v>-31</v>
      </c>
    </row>
    <row r="32" spans="1:8" s="27" customFormat="1" x14ac:dyDescent="0.3">
      <c r="A32" s="23">
        <v>117</v>
      </c>
      <c r="B32" s="23">
        <v>20000464</v>
      </c>
      <c r="C32" s="24" t="s">
        <v>336</v>
      </c>
      <c r="D32" s="24" t="s">
        <v>335</v>
      </c>
      <c r="E32" s="25">
        <v>1</v>
      </c>
      <c r="F32" s="25">
        <f t="shared" si="0"/>
        <v>31</v>
      </c>
      <c r="G32" s="26">
        <v>30</v>
      </c>
      <c r="H32" s="26">
        <f t="shared" si="1"/>
        <v>-1</v>
      </c>
    </row>
    <row r="33" spans="1:8" s="27" customFormat="1" x14ac:dyDescent="0.3">
      <c r="A33" s="23">
        <v>118</v>
      </c>
      <c r="B33" s="23"/>
      <c r="C33" s="24" t="s">
        <v>332</v>
      </c>
      <c r="D33" s="29" t="s">
        <v>304</v>
      </c>
      <c r="E33" s="25">
        <v>1</v>
      </c>
      <c r="F33" s="25">
        <f t="shared" si="0"/>
        <v>31</v>
      </c>
      <c r="G33" s="26"/>
      <c r="H33" s="26">
        <f t="shared" si="1"/>
        <v>-31</v>
      </c>
    </row>
    <row r="34" spans="1:8" s="27" customFormat="1" x14ac:dyDescent="0.3">
      <c r="A34" s="23">
        <v>121</v>
      </c>
      <c r="B34" s="23"/>
      <c r="C34" s="24" t="s">
        <v>298</v>
      </c>
      <c r="D34" s="24"/>
      <c r="E34" s="25">
        <v>1</v>
      </c>
      <c r="F34" s="25">
        <f t="shared" si="0"/>
        <v>31</v>
      </c>
      <c r="G34" s="26">
        <v>50</v>
      </c>
      <c r="H34" s="26">
        <f t="shared" si="1"/>
        <v>19</v>
      </c>
    </row>
  </sheetData>
  <phoneticPr fontId="18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X-CUBE i9 HV PSU SMT BOARD ASSY</vt:lpstr>
      <vt:lpstr>Sheet1</vt:lpstr>
      <vt:lpstr>SCH_DUO_HV PSU_P0_210119</vt:lpstr>
      <vt:lpstr>샘플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360621</dc:creator>
  <cp:lastModifiedBy>Lenovo</cp:lastModifiedBy>
  <cp:lastPrinted>2021-02-27T07:01:46Z</cp:lastPrinted>
  <dcterms:created xsi:type="dcterms:W3CDTF">2020-02-28T08:27:26Z</dcterms:created>
  <dcterms:modified xsi:type="dcterms:W3CDTF">2023-12-19T04:24:04Z</dcterms:modified>
</cp:coreProperties>
</file>